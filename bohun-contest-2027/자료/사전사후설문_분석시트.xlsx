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분석" sheetId="2" state="visible" r:id="rId4"/>
    <sheet name="사전" sheetId="3" state="visible" r:id="rId5"/>
    <sheet name="사후" sheetId="4" state="visible" r:id="rId6"/>
    <sheet name="대응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<sst xmlns="http://schemas.openxmlformats.org/spreadsheetml/2006/main" count="100" uniqueCount="55">
  <si>
    <r>
      <rPr>
        <b val="true"/>
        <sz val="14"/>
        <color rgb="FF1F3A5F"/>
        <rFont val="WenQuanYi Zen Hei"/>
        <family val="2"/>
      </rPr>
      <t xml:space="preserve">사전</t>
    </r>
    <r>
      <rPr>
        <b val="true"/>
        <sz val="14"/>
        <color rgb="FF1F3A5F"/>
        <rFont val="맑은 고딕"/>
        <family val="0"/>
        <charset val="1"/>
      </rPr>
      <t xml:space="preserve">·</t>
    </r>
    <r>
      <rPr>
        <b val="true"/>
        <sz val="14"/>
        <color rgb="FF1F3A5F"/>
        <rFont val="WenQuanYi Zen Hei"/>
        <family val="2"/>
      </rPr>
      <t xml:space="preserve">사후 설문 분석 시트 — 기억은 </t>
    </r>
    <r>
      <rPr>
        <b val="true"/>
        <sz val="14"/>
        <color rgb="FF1F3A5F"/>
        <rFont val="맑은 고딕"/>
        <family val="0"/>
        <charset val="1"/>
      </rPr>
      <t xml:space="preserve">FACT</t>
    </r>
    <r>
      <rPr>
        <b val="true"/>
        <sz val="14"/>
        <color rgb="FF1F3A5F"/>
        <rFont val="WenQuanYi Zen Hei"/>
        <family val="2"/>
      </rPr>
      <t xml:space="preserve">로 지킨다</t>
    </r>
  </si>
  <si>
    <t xml:space="preserve">사용 방법</t>
  </si>
  <si>
    <r>
      <rPr>
        <sz val="11"/>
        <color rgb="FF000000"/>
        <rFont val="맑은 고딕"/>
        <family val="0"/>
        <charset val="1"/>
      </rPr>
      <t xml:space="preserve">1. [</t>
    </r>
    <r>
      <rPr>
        <sz val="11"/>
        <color rgb="FF000000"/>
        <rFont val="WenQuanYi Zen Hei"/>
        <family val="2"/>
      </rPr>
      <t xml:space="preserve">사전</t>
    </r>
    <r>
      <rPr>
        <sz val="11"/>
        <color rgb="FF000000"/>
        <rFont val="맑은 고딕"/>
        <family val="0"/>
        <charset val="1"/>
      </rPr>
      <t xml:space="preserve">] </t>
    </r>
    <r>
      <rPr>
        <sz val="11"/>
        <color rgb="FF000000"/>
        <rFont val="WenQuanYi Zen Hei"/>
        <family val="2"/>
      </rPr>
      <t xml:space="preserve">시트와 </t>
    </r>
    <r>
      <rPr>
        <sz val="11"/>
        <color rgb="FF000000"/>
        <rFont val="맑은 고딕"/>
        <family val="0"/>
        <charset val="1"/>
      </rPr>
      <t xml:space="preserve">[</t>
    </r>
    <r>
      <rPr>
        <sz val="11"/>
        <color rgb="FF000000"/>
        <rFont val="WenQuanYi Zen Hei"/>
        <family val="2"/>
      </rPr>
      <t xml:space="preserve">사후</t>
    </r>
    <r>
      <rPr>
        <sz val="11"/>
        <color rgb="FF000000"/>
        <rFont val="맑은 고딕"/>
        <family val="0"/>
        <charset val="1"/>
      </rPr>
      <t xml:space="preserve">] </t>
    </r>
    <r>
      <rPr>
        <sz val="11"/>
        <color rgb="FF000000"/>
        <rFont val="WenQuanYi Zen Hei"/>
        <family val="2"/>
      </rPr>
      <t xml:space="preserve">시트의 노란 칸에만 입력합니다</t>
    </r>
    <r>
      <rPr>
        <sz val="11"/>
        <color rgb="FF000000"/>
        <rFont val="맑은 고딕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학생번호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예</t>
    </r>
    <r>
      <rPr>
        <sz val="11"/>
        <color rgb="FF000000"/>
        <rFont val="맑은 고딕"/>
        <family val="0"/>
        <charset val="1"/>
      </rPr>
      <t xml:space="preserve">: 30215 = 3</t>
    </r>
    <r>
      <rPr>
        <sz val="11"/>
        <color rgb="FF000000"/>
        <rFont val="WenQuanYi Zen Hei"/>
        <family val="2"/>
      </rPr>
      <t xml:space="preserve">학년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반 </t>
    </r>
    <r>
      <rPr>
        <sz val="11"/>
        <color rgb="FF000000"/>
        <rFont val="맑은 고딕"/>
        <family val="0"/>
        <charset val="1"/>
      </rPr>
      <t xml:space="preserve">15</t>
    </r>
    <r>
      <rPr>
        <sz val="11"/>
        <color rgb="FF000000"/>
        <rFont val="WenQuanYi Zen Hei"/>
        <family val="2"/>
      </rPr>
      <t xml:space="preserve">번</t>
    </r>
    <r>
      <rPr>
        <sz val="11"/>
        <color rgb="FF000000"/>
        <rFont val="맑은 고딕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와 문항별 점수</t>
    </r>
    <r>
      <rPr>
        <sz val="11"/>
        <color rgb="FF000000"/>
        <rFont val="맑은 고딕"/>
        <family val="0"/>
        <charset val="1"/>
      </rPr>
      <t xml:space="preserve">(1~5)</t>
    </r>
    <r>
      <rPr>
        <sz val="11"/>
        <color rgb="FF000000"/>
        <rFont val="WenQuanYi Zen Hei"/>
        <family val="2"/>
      </rPr>
      <t xml:space="preserve">를 넣습니다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</si>
  <si>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2. </t>
    </r>
    <r>
      <rPr>
        <sz val="11"/>
        <color rgb="FF000000"/>
        <rFont val="WenQuanYi Zen Hei"/>
        <family val="2"/>
      </rPr>
      <t xml:space="preserve">구글 설문 응답을 내려받아 붙여넣을 때도 열 순서를 학생번호</t>
    </r>
    <r>
      <rPr>
        <sz val="11"/>
        <color rgb="FF000000"/>
        <rFont val="맑은 고딕"/>
        <family val="0"/>
        <charset val="1"/>
      </rPr>
      <t xml:space="preserve">, Q1~Q8</t>
    </r>
    <r>
      <rPr>
        <sz val="11"/>
        <color rgb="FF000000"/>
        <rFont val="WenQuanYi Zen Hei"/>
        <family val="2"/>
      </rPr>
      <t xml:space="preserve">로 맞춥니다</t>
    </r>
    <r>
      <rPr>
        <sz val="11"/>
        <color rgb="FF000000"/>
        <rFont val="맑은 고딕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학생 이름은 넣지 않습니다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개인정보 최소화</t>
    </r>
    <r>
      <rPr>
        <sz val="11"/>
        <color rgb="FF000000"/>
        <rFont val="맑은 고딕"/>
        <family val="0"/>
        <charset val="1"/>
      </rPr>
      <t xml:space="preserve">).</t>
    </r>
  </si>
  <si>
    <r>
      <rPr>
        <sz val="11"/>
        <color rgb="FF000000"/>
        <rFont val="맑은 고딕"/>
        <family val="0"/>
        <charset val="1"/>
      </rPr>
      <t xml:space="preserve">3. </t>
    </r>
    <r>
      <rPr>
        <sz val="11"/>
        <color rgb="FF000000"/>
        <rFont val="WenQuanYi Zen Hei"/>
        <family val="2"/>
      </rPr>
      <t xml:space="preserve">사전과 사후는 학생번호로 자동 짝지어집니다</t>
    </r>
    <r>
      <rPr>
        <sz val="11"/>
        <color rgb="FF000000"/>
        <rFont val="맑은 고딕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행 순서가 달라도 됩니다</t>
    </r>
    <r>
      <rPr>
        <sz val="11"/>
        <color rgb="FF000000"/>
        <rFont val="맑은 고딕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한쪽만 응답한 학생은 대응 분석에서 빠집니다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</si>
  <si>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4. [</t>
    </r>
    <r>
      <rPr>
        <sz val="11"/>
        <color rgb="FF000000"/>
        <rFont val="WenQuanYi Zen Hei"/>
        <family val="2"/>
      </rPr>
      <t xml:space="preserve">분석</t>
    </r>
    <r>
      <rPr>
        <sz val="11"/>
        <color rgb="FF000000"/>
        <rFont val="맑은 고딕"/>
        <family val="0"/>
        <charset val="1"/>
      </rPr>
      <t xml:space="preserve">] </t>
    </r>
    <r>
      <rPr>
        <sz val="11"/>
        <color rgb="FF000000"/>
        <rFont val="WenQuanYi Zen Hei"/>
        <family val="2"/>
      </rPr>
      <t xml:space="preserve">시트가 문항별 평균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변화량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대응표본 </t>
    </r>
    <r>
      <rPr>
        <sz val="11"/>
        <color rgb="FF000000"/>
        <rFont val="맑은 고딕"/>
        <family val="0"/>
        <charset val="1"/>
      </rPr>
      <t xml:space="preserve">t</t>
    </r>
    <r>
      <rPr>
        <sz val="11"/>
        <color rgb="FF000000"/>
        <rFont val="WenQuanYi Zen Hei"/>
        <family val="2"/>
      </rPr>
      <t xml:space="preserve">검정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양측</t>
    </r>
    <r>
      <rPr>
        <sz val="11"/>
        <color rgb="FF000000"/>
        <rFont val="맑은 고딕"/>
        <family val="0"/>
        <charset val="1"/>
      </rPr>
      <t xml:space="preserve">) </t>
    </r>
    <r>
      <rPr>
        <sz val="11"/>
        <color rgb="FF000000"/>
        <rFont val="WenQuanYi Zen Hei"/>
        <family val="2"/>
      </rPr>
      <t xml:space="preserve">결과와 그래프를 자동으로 보여 줍니다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</si>
  <si>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5. [</t>
    </r>
    <r>
      <rPr>
        <sz val="11"/>
        <color rgb="FF000000"/>
        <rFont val="WenQuanYi Zen Hei"/>
        <family val="2"/>
      </rPr>
      <t xml:space="preserve">대응</t>
    </r>
    <r>
      <rPr>
        <sz val="11"/>
        <color rgb="FF000000"/>
        <rFont val="맑은 고딕"/>
        <family val="0"/>
        <charset val="1"/>
      </rPr>
      <t xml:space="preserve">] </t>
    </r>
    <r>
      <rPr>
        <sz val="11"/>
        <color rgb="FF000000"/>
        <rFont val="WenQuanYi Zen Hei"/>
        <family val="2"/>
      </rPr>
      <t xml:space="preserve">시트는 계산용입니다</t>
    </r>
    <r>
      <rPr>
        <sz val="11"/>
        <color rgb="FF000000"/>
        <rFont val="맑은 고딕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수정하지 마세요</t>
    </r>
    <r>
      <rPr>
        <sz val="11"/>
        <color rgb="FF000000"/>
        <rFont val="맑은 고딕"/>
        <family val="0"/>
        <charset val="1"/>
      </rPr>
      <t xml:space="preserve">.</t>
    </r>
  </si>
  <si>
    <t xml:space="preserve">해석 기준</t>
  </si>
  <si>
    <r>
      <rPr>
        <sz val="11"/>
        <color rgb="FF000000"/>
        <rFont val="맑은 고딕"/>
        <family val="0"/>
        <charset val="1"/>
      </rPr>
      <t xml:space="preserve">· p &lt; .05 </t>
    </r>
    <r>
      <rPr>
        <sz val="11"/>
        <color rgb="FF000000"/>
        <rFont val="WenQuanYi Zen Hei"/>
        <family val="2"/>
      </rPr>
      <t xml:space="preserve">이면 </t>
    </r>
    <r>
      <rPr>
        <sz val="11"/>
        <color rgb="FF000000"/>
        <rFont val="맑은 고딕"/>
        <family val="0"/>
        <charset val="1"/>
      </rPr>
      <t xml:space="preserve">"</t>
    </r>
    <r>
      <rPr>
        <sz val="11"/>
        <color rgb="FF000000"/>
        <rFont val="WenQuanYi Zen Hei"/>
        <family val="2"/>
      </rPr>
      <t xml:space="preserve">통계적으로 유의한 변화</t>
    </r>
    <r>
      <rPr>
        <sz val="11"/>
        <color rgb="FF000000"/>
        <rFont val="맑은 고딕"/>
        <family val="0"/>
        <charset val="1"/>
      </rPr>
      <t xml:space="preserve">"</t>
    </r>
    <r>
      <rPr>
        <sz val="11"/>
        <color rgb="FF000000"/>
        <rFont val="WenQuanYi Zen Hei"/>
        <family val="2"/>
      </rPr>
      <t xml:space="preserve">로 적을 수 있습니다</t>
    </r>
    <r>
      <rPr>
        <sz val="11"/>
        <color rgb="FF000000"/>
        <rFont val="맑은 고딕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표본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대응 </t>
    </r>
    <r>
      <rPr>
        <sz val="11"/>
        <color rgb="FF000000"/>
        <rFont val="맑은 고딕"/>
        <family val="0"/>
        <charset val="1"/>
      </rPr>
      <t xml:space="preserve">n)</t>
    </r>
    <r>
      <rPr>
        <sz val="11"/>
        <color rgb="FF000000"/>
        <rFont val="WenQuanYi Zen Hei"/>
        <family val="2"/>
      </rPr>
      <t xml:space="preserve">이 </t>
    </r>
    <r>
      <rPr>
        <sz val="11"/>
        <color rgb="FF000000"/>
        <rFont val="맑은 고딕"/>
        <family val="0"/>
        <charset val="1"/>
      </rPr>
      <t xml:space="preserve">10</t>
    </r>
    <r>
      <rPr>
        <sz val="11"/>
        <color rgb="FF000000"/>
        <rFont val="WenQuanYi Zen Hei"/>
        <family val="2"/>
      </rPr>
      <t xml:space="preserve">명 미만이면 결과를 참고용으로만 씁니다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</si>
  <si>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· </t>
    </r>
    <r>
      <rPr>
        <sz val="11"/>
        <color rgb="FF000000"/>
        <rFont val="WenQuanYi Zen Hei"/>
        <family val="2"/>
      </rPr>
      <t xml:space="preserve">공모안에는 </t>
    </r>
    <r>
      <rPr>
        <sz val="11"/>
        <color rgb="FF000000"/>
        <rFont val="맑은 고딕"/>
        <family val="0"/>
        <charset val="1"/>
      </rPr>
      <t xml:space="preserve">[</t>
    </r>
    <r>
      <rPr>
        <sz val="11"/>
        <color rgb="FF000000"/>
        <rFont val="WenQuanYi Zen Hei"/>
        <family val="2"/>
      </rPr>
      <t xml:space="preserve">분석</t>
    </r>
    <r>
      <rPr>
        <sz val="11"/>
        <color rgb="FF000000"/>
        <rFont val="맑은 고딕"/>
        <family val="0"/>
        <charset val="1"/>
      </rPr>
      <t xml:space="preserve">] </t>
    </r>
    <r>
      <rPr>
        <sz val="11"/>
        <color rgb="FF000000"/>
        <rFont val="WenQuanYi Zen Hei"/>
        <family val="2"/>
      </rPr>
      <t xml:space="preserve">시트의 그래프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장 </t>
    </r>
    <r>
      <rPr>
        <sz val="11"/>
        <color rgb="FF000000"/>
        <rFont val="맑은 고딕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영역 평균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줄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보훈 의식 </t>
    </r>
    <r>
      <rPr>
        <sz val="11"/>
        <color rgb="FF000000"/>
        <rFont val="맑은 고딕"/>
        <family val="0"/>
        <charset val="1"/>
      </rPr>
      <t xml:space="preserve">Q1~5, </t>
    </r>
    <r>
      <rPr>
        <sz val="11"/>
        <color rgb="FF000000"/>
        <rFont val="WenQuanYi Zen Hei"/>
        <family val="2"/>
      </rPr>
      <t xml:space="preserve">정보 검증 태도 </t>
    </r>
    <r>
      <rPr>
        <sz val="11"/>
        <color rgb="FF000000"/>
        <rFont val="맑은 고딕"/>
        <family val="0"/>
        <charset val="1"/>
      </rPr>
      <t xml:space="preserve">Q6~8)</t>
    </r>
    <r>
      <rPr>
        <sz val="11"/>
        <color rgb="FF000000"/>
        <rFont val="WenQuanYi Zen Hei"/>
        <family val="2"/>
      </rPr>
      <t xml:space="preserve">을 싣는 것을 권장합니다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</si>
  <si>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b val="true"/>
        <sz val="12"/>
        <color rgb="FF000000"/>
        <rFont val="WenQuanYi Zen Hei"/>
        <family val="2"/>
      </rPr>
      <t xml:space="preserve">입력 예시 </t>
    </r>
    <r>
      <rPr>
        <b val="true"/>
        <sz val="12"/>
        <color rgb="FF000000"/>
        <rFont val="맑은 고딕"/>
        <family val="0"/>
        <charset val="1"/>
      </rPr>
      <t xml:space="preserve">(</t>
    </r>
    <r>
      <rPr>
        <b val="true"/>
        <sz val="12"/>
        <color rgb="FF000000"/>
        <rFont val="WenQuanYi Zen Hei"/>
        <family val="2"/>
      </rPr>
      <t xml:space="preserve">아래는 형식을 보여 주는 예시이며</t>
    </r>
    <r>
      <rPr>
        <b val="true"/>
        <sz val="12"/>
        <color rgb="FF000000"/>
        <rFont val="맑은 고딕"/>
        <family val="0"/>
        <charset val="1"/>
      </rPr>
      <t xml:space="preserve">, </t>
    </r>
    <r>
      <rPr>
        <b val="true"/>
        <sz val="12"/>
        <color rgb="FF000000"/>
        <rFont val="WenQuanYi Zen Hei"/>
        <family val="2"/>
      </rPr>
      <t xml:space="preserve">계산에 포함되지 않습니다</t>
    </r>
    <r>
      <rPr>
        <b val="true"/>
        <sz val="12"/>
        <color rgb="FF000000"/>
        <rFont val="맑은 고딕"/>
        <family val="0"/>
        <charset val="1"/>
      </rPr>
      <t xml:space="preserve">)</t>
    </r>
  </si>
  <si>
    <t xml:space="preserve">학생번호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</si>
  <si>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</si>
  <si>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</si>
  <si>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</si>
  <si>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</si>
  <si>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</si>
  <si>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</si>
  <si>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</si>
  <si>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</si>
  <si>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문항</t>
  </si>
  <si>
    <t xml:space="preserve">임시정부가 오늘의 대한민국과 어떻게 이어지는지 설명할 수 있다</t>
  </si>
  <si>
    <r>
      <rPr>
        <sz val="11"/>
        <rFont val="WenQuanYi Zen Hei"/>
        <family val="2"/>
      </rPr>
      <t xml:space="preserve">독립운동가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광복군의 희생이 내 삶과 관련 있다고 느낀다</t>
    </r>
  </si>
  <si>
    <t xml:space="preserve">우리 동네 보훈 관련 장소를 알고 있다</t>
  </si>
  <si>
    <t xml:space="preserve">독립유공자와 가족에게 감사를 표현할 방법을 안다</t>
  </si>
  <si>
    <t xml:space="preserve">보훈 관련 활동에 참여할 의향이 있다</t>
  </si>
  <si>
    <r>
      <rPr>
        <sz val="11"/>
        <rFont val="맑은 고딕"/>
        <family val="0"/>
        <charset val="1"/>
      </rPr>
      <t xml:space="preserve">AI·</t>
    </r>
    <r>
      <rPr>
        <sz val="11"/>
        <rFont val="WenQuanYi Zen Hei"/>
        <family val="2"/>
      </rPr>
      <t xml:space="preserve">인터넷 역사 정보를 그대로 믿지 않고 확인한다</t>
    </r>
  </si>
  <si>
    <t xml:space="preserve">역사 정보의 출처를 찾고 표기할 수 있다</t>
  </si>
  <si>
    <t xml:space="preserve">부정확한 역사 정보를 바로잡는 것도 보훈이다</t>
  </si>
  <si>
    <r>
      <rPr>
        <sz val="11"/>
        <color rgb="FF555555"/>
        <rFont val="WenQuanYi Zen Hei"/>
        <family val="2"/>
      </rPr>
      <t xml:space="preserve">영역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WenQuanYi Zen Hei"/>
        <family val="2"/>
      </rPr>
      <t xml:space="preserve">보훈 의식 </t>
    </r>
    <r>
      <rPr>
        <sz val="11"/>
        <color rgb="FF555555"/>
        <rFont val="맑은 고딕"/>
        <family val="0"/>
        <charset val="1"/>
      </rPr>
      <t xml:space="preserve">= Q1~Q5, </t>
    </r>
    <r>
      <rPr>
        <sz val="11"/>
        <color rgb="FF555555"/>
        <rFont val="WenQuanYi Zen Hei"/>
        <family val="2"/>
      </rPr>
      <t xml:space="preserve">정보 검증 태도 </t>
    </r>
    <r>
      <rPr>
        <sz val="11"/>
        <color rgb="FF555555"/>
        <rFont val="맑은 고딕"/>
        <family val="0"/>
        <charset val="1"/>
      </rPr>
      <t xml:space="preserve">= Q6~Q8</t>
    </r>
  </si>
  <si>
    <r>
      <rPr>
        <b val="true"/>
        <sz val="14"/>
        <color rgb="FF1F3A5F"/>
        <rFont val="WenQuanYi Zen Hei"/>
        <family val="2"/>
      </rPr>
      <t xml:space="preserve">사전</t>
    </r>
    <r>
      <rPr>
        <b val="true"/>
        <sz val="14"/>
        <color rgb="FF1F3A5F"/>
        <rFont val="맑은 고딕"/>
        <family val="0"/>
        <charset val="1"/>
      </rPr>
      <t xml:space="preserve">·</t>
    </r>
    <r>
      <rPr>
        <b val="true"/>
        <sz val="14"/>
        <color rgb="FF1F3A5F"/>
        <rFont val="WenQuanYi Zen Hei"/>
        <family val="2"/>
      </rPr>
      <t xml:space="preserve">사후 비교 분석</t>
    </r>
  </si>
  <si>
    <r>
      <rPr>
        <sz val="11"/>
        <color rgb="FF555555"/>
        <rFont val="WenQuanYi Zen Hei"/>
        <family val="2"/>
      </rPr>
      <t xml:space="preserve">대응표본 </t>
    </r>
    <r>
      <rPr>
        <sz val="11"/>
        <color rgb="FF555555"/>
        <rFont val="맑은 고딕"/>
        <family val="0"/>
        <charset val="1"/>
      </rPr>
      <t xml:space="preserve">t</t>
    </r>
    <r>
      <rPr>
        <sz val="11"/>
        <color rgb="FF555555"/>
        <rFont val="WenQuanYi Zen Hei"/>
        <family val="2"/>
      </rPr>
      <t xml:space="preserve">검정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WenQuanYi Zen Hei"/>
        <family val="2"/>
      </rPr>
      <t xml:space="preserve">양측</t>
    </r>
    <r>
      <rPr>
        <sz val="11"/>
        <color rgb="FF555555"/>
        <rFont val="맑은 고딕"/>
        <family val="0"/>
        <charset val="1"/>
      </rPr>
      <t xml:space="preserve">). </t>
    </r>
    <r>
      <rPr>
        <sz val="11"/>
        <color rgb="FF555555"/>
        <rFont val="WenQuanYi Zen Hei"/>
        <family val="2"/>
      </rPr>
      <t xml:space="preserve">대응 </t>
    </r>
    <r>
      <rPr>
        <sz val="11"/>
        <color rgb="FF555555"/>
        <rFont val="맑은 고딕"/>
        <family val="0"/>
        <charset val="1"/>
      </rPr>
      <t xml:space="preserve">n = </t>
    </r>
    <r>
      <rPr>
        <sz val="11"/>
        <color rgb="FF555555"/>
        <rFont val="WenQuanYi Zen Hei"/>
        <family val="2"/>
      </rPr>
      <t xml:space="preserve">사전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WenQuanYi Zen Hei"/>
        <family val="2"/>
      </rPr>
      <t xml:space="preserve">사후 모두 응답한 학생 수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WenQuanYi Zen Hei"/>
        <family val="2"/>
      </rPr>
      <t xml:space="preserve">노란 칸 입력은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WenQuanYi Zen Hei"/>
        <family val="2"/>
      </rPr>
      <t xml:space="preserve">사전</t>
    </r>
    <r>
      <rPr>
        <sz val="11"/>
        <color rgb="FF555555"/>
        <rFont val="맑은 고딕"/>
        <family val="0"/>
        <charset val="1"/>
      </rPr>
      <t xml:space="preserve">]·[</t>
    </r>
    <r>
      <rPr>
        <sz val="11"/>
        <color rgb="FF555555"/>
        <rFont val="WenQuanYi Zen Hei"/>
        <family val="2"/>
      </rPr>
      <t xml:space="preserve">사후</t>
    </r>
    <r>
      <rPr>
        <sz val="11"/>
        <color rgb="FF555555"/>
        <rFont val="맑은 고딕"/>
        <family val="0"/>
        <charset val="1"/>
      </rPr>
      <t xml:space="preserve">] </t>
    </r>
    <r>
      <rPr>
        <sz val="11"/>
        <color rgb="FF555555"/>
        <rFont val="WenQuanYi Zen Hei"/>
        <family val="2"/>
      </rPr>
      <t xml:space="preserve">시트에서 합니다</t>
    </r>
    <r>
      <rPr>
        <sz val="11"/>
        <color rgb="FF555555"/>
        <rFont val="맑은 고딕"/>
        <family val="0"/>
        <charset val="1"/>
      </rPr>
      <t xml:space="preserve">.</t>
    </r>
  </si>
  <si>
    <t xml:space="preserve">내용</t>
  </si>
  <si>
    <t xml:space="preserve">사전 평균</t>
  </si>
  <si>
    <t xml:space="preserve">사후 평균</t>
  </si>
  <si>
    <r>
      <rPr>
        <b val="true"/>
        <sz val="11"/>
        <color rgb="FFFFFFFF"/>
        <rFont val="WenQuanYi Zen Hei"/>
        <family val="2"/>
      </rPr>
      <t xml:space="preserve">평균 변화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대응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</si>
  <si>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대응 </t>
    </r>
    <r>
      <rPr>
        <b val="true"/>
        <sz val="11"/>
        <color rgb="FFFFFFFF"/>
        <rFont val="맑은 고딕"/>
        <family val="0"/>
        <charset val="1"/>
      </rPr>
      <t xml:space="preserve">n</t>
    </r>
  </si>
  <si>
    <t xml:space="preserve">변화의 표준편차</t>
  </si>
  <si>
    <t xml:space="preserve">t</t>
  </si>
  <si>
    <r>
      <rPr>
        <b val="true"/>
        <sz val="11"/>
        <color rgb="FFFFFFFF"/>
        <rFont val="맑은 고딕"/>
        <family val="0"/>
        <charset val="1"/>
      </rPr>
      <t xml:space="preserve">p (</t>
    </r>
    <r>
      <rPr>
        <b val="true"/>
        <sz val="11"/>
        <color rgb="FFFFFFFF"/>
        <rFont val="WenQuanYi Zen Hei"/>
        <family val="2"/>
      </rPr>
      <t xml:space="preserve">양측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</si>
  <si>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판정</t>
  </si>
  <si>
    <t xml:space="preserve">영역</t>
  </si>
  <si>
    <r>
      <rPr>
        <b val="true"/>
        <sz val="11"/>
        <rFont val="WenQuanYi Zen Hei"/>
        <family val="2"/>
      </rPr>
      <t xml:space="preserve">보훈 의식 </t>
    </r>
    <r>
      <rPr>
        <b val="true"/>
        <sz val="11"/>
        <rFont val="맑은 고딕"/>
        <family val="0"/>
        <charset val="1"/>
      </rPr>
      <t xml:space="preserve">(Q1~Q5)</t>
    </r>
  </si>
  <si>
    <r>
      <rPr>
        <b val="true"/>
        <sz val="11"/>
        <rFont val="WenQuanYi Zen Hei"/>
        <family val="2"/>
      </rPr>
      <t xml:space="preserve">정보 검증 태도 </t>
    </r>
    <r>
      <rPr>
        <b val="true"/>
        <sz val="11"/>
        <rFont val="맑은 고딕"/>
        <family val="0"/>
        <charset val="1"/>
      </rPr>
      <t xml:space="preserve">(Q6~Q8)</t>
    </r>
  </si>
  <si>
    <r>
      <rPr>
        <sz val="9"/>
        <color rgb="FF555555"/>
        <rFont val="WenQuanYi Zen Hei"/>
        <family val="2"/>
      </rPr>
      <t xml:space="preserve">※ 영역 행의 사전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사후 평균은 해당 문항 전체 응답의 평균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평균 변화와 </t>
    </r>
    <r>
      <rPr>
        <sz val="9"/>
        <color rgb="FF555555"/>
        <rFont val="맑은 고딕"/>
        <family val="0"/>
        <charset val="1"/>
      </rPr>
      <t xml:space="preserve">t</t>
    </r>
    <r>
      <rPr>
        <sz val="9"/>
        <color rgb="FF555555"/>
        <rFont val="WenQuanYi Zen Hei"/>
        <family val="2"/>
      </rPr>
      <t xml:space="preserve">검정은 학생별 영역 평균의 변화로 계산합니다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</si>
  <si>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Q1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</si>
  <si>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맑은 고딕"/>
        <family val="0"/>
        <charset val="1"/>
      </rPr>
      <t xml:space="preserve">Q2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</si>
  <si>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맑은 고딕"/>
        <family val="0"/>
        <charset val="1"/>
      </rPr>
      <t xml:space="preserve">Q3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</si>
  <si>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맑은 고딕"/>
        <family val="0"/>
        <charset val="1"/>
      </rPr>
      <t xml:space="preserve">Q4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</si>
  <si>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맑은 고딕"/>
        <family val="0"/>
        <charset val="1"/>
      </rPr>
      <t xml:space="preserve">Q5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</si>
  <si>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맑은 고딕"/>
        <family val="0"/>
        <charset val="1"/>
      </rPr>
      <t xml:space="preserve">Q6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</si>
  <si>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맑은 고딕"/>
        <family val="0"/>
        <charset val="1"/>
      </rPr>
      <t xml:space="preserve">Q7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</si>
  <si>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맑은 고딕"/>
        <family val="0"/>
        <charset val="1"/>
      </rPr>
      <t xml:space="preserve">Q8 </t>
    </r>
    <r>
      <rPr>
        <b val="true"/>
        <sz val="11"/>
        <color rgb="FFFFFFFF"/>
        <rFont val="WenQuanYi Zen Hei"/>
        <family val="2"/>
      </rPr>
      <t xml:space="preserve">변화</t>
    </r>
  </si>
  <si>
    <r>
      <rPr>
        <b val="true"/>
        <sz val="11"/>
        <color rgb="FFFFFFFF"/>
        <rFont val="WenQuanYi Zen Hei"/>
        <family val="2"/>
      </rPr>
      <t xml:space="preserve">보훈 의식 변화</t>
    </r>
    <r>
      <rPr>
        <b val="true"/>
        <sz val="11"/>
        <color rgb="FFFFFFFF"/>
        <rFont val="맑은 고딕"/>
        <family val="0"/>
        <charset val="1"/>
      </rPr>
      <t xml:space="preserve">(Q1~5 </t>
    </r>
    <r>
      <rPr>
        <b val="true"/>
        <sz val="11"/>
        <color rgb="FFFFFFFF"/>
        <rFont val="WenQuanYi Zen Hei"/>
        <family val="2"/>
      </rPr>
      <t xml:space="preserve">평균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</si>
  <si>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정보 검증 변화</t>
    </r>
    <r>
      <rPr>
        <b val="true"/>
        <sz val="11"/>
        <color rgb="FFFFFFFF"/>
        <rFont val="맑은 고딕"/>
        <family val="0"/>
        <charset val="1"/>
      </rPr>
      <t xml:space="preserve">(Q6~8 </t>
    </r>
    <r>
      <rPr>
        <b val="true"/>
        <sz val="11"/>
        <color rgb="FFFFFFFF"/>
        <rFont val="WenQuanYi Zen Hei"/>
        <family val="2"/>
      </rPr>
      <t xml:space="preserve">평균</t>
    </r>
    <r>
      <rPr>
        <b val="true"/>
        <sz val="11"/>
        <color rgb="FFFFFFFF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</si>
</sst>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WenQuanYi Zen Hei"/>
      <family val="2"/>
    </font>
    <font>
      <b val="true"/>
      <sz val="14"/>
      <color rgb="FF1F3A5F"/>
      <name val="맑은 고딕"/>
      <family val="0"/>
      <charset val="1"/>
    </font>
    <font>
      <b val="true"/>
      <sz val="12"/>
      <color rgb="FF1F3A5F"/>
      <name val="WenQuanYi Zen Hei"/>
      <family val="2"/>
    </font>
    <font>
      <sz val="11"/>
      <color rgb="FF000000"/>
      <name val="맑은 고딕"/>
      <family val="0"/>
      <charset val="1"/>
    </font>
    <font>
      <sz val="11"/>
      <color rgb="FF000000"/>
      <name val="WenQuanYi Zen Hei"/>
      <family val="2"/>
    </font>
    <font>
      <b val="true"/>
      <sz val="12"/>
      <color rgb="FF000000"/>
      <name val="WenQuanYi Zen Hei"/>
      <family val="2"/>
    </font>
    <font>
      <b val="true"/>
      <sz val="12"/>
      <color rgb="FF000000"/>
      <name val="맑은 고딕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맑은 고딕"/>
      <family val="0"/>
      <charset val="1"/>
    </font>
    <font>
      <sz val="11"/>
      <name val="맑은 고딕"/>
      <family val="0"/>
      <charset val="1"/>
    </font>
    <font>
      <b val="true"/>
      <sz val="11"/>
      <color rgb="FF1F3A5F"/>
      <name val="WenQuanYi Zen Hei"/>
      <family val="2"/>
    </font>
    <font>
      <b val="true"/>
      <sz val="11"/>
      <name val="맑은 고딕"/>
      <family val="0"/>
      <charset val="1"/>
    </font>
    <font>
      <sz val="11"/>
      <name val="WenQuanYi Zen Hei"/>
      <family val="2"/>
    </font>
    <font>
      <sz val="11"/>
      <color rgb="FF555555"/>
      <name val="WenQuanYi Zen Hei"/>
      <family val="2"/>
    </font>
    <font>
      <sz val="11"/>
      <color rgb="FF555555"/>
      <name val="맑은 고딕"/>
      <family val="0"/>
      <charset val="1"/>
    </font>
    <font>
      <b val="true"/>
      <sz val="11"/>
      <name val="WenQuanYi Zen Hei"/>
      <family val="2"/>
    </font>
    <font>
      <sz val="9"/>
      <color rgb="FF555555"/>
      <name val="WenQuanYi Zen Hei"/>
      <family val="2"/>
    </font>
    <font>
      <sz val="9"/>
      <color rgb="FF555555"/>
      <name val="맑은 고딕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CC"/>
        <bgColor rgb="FFEEF2F7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D0"/>
      </left>
      <right style="thin">
        <color rgb="FFB7C2D0"/>
      </right>
      <top style="thin">
        <color rgb="FFB7C2D0"/>
      </top>
      <bottom style="thin">
        <color rgb="FFB7C2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2D0"/>
      <rgbColor rgb="FF878787"/>
      <rgbColor rgb="FF9999FF"/>
      <rgbColor rgb="FF993366"/>
      <rgbColor rgb="FFFFF7CC"/>
      <rgbColor rgb="FFEE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문항별 사전·사후 평균 (5점 척도)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분석!C4</c:f>
              <c:strCache>
                <c:ptCount val="1"/>
                <c:pt idx="0">
                  <c:v>사전 평균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분석!$A$5:$A$12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분석!$C$5:$C$12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분석!D4</c:f>
              <c:strCache>
                <c:ptCount val="1"/>
                <c:pt idx="0">
                  <c:v>사후 평균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분석!$A$5:$A$12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분석!$D$5:$D$12</c:f>
              <c:numCache>
                <c:formatCode>General</c:formatCode>
                <c:ptCount val="8"/>
              </c:numCache>
            </c:numRef>
          </c:val>
        </c:ser>
        <c:gapWidth val="80"/>
        <c:overlap val="0"/>
        <c:axId val="89256235"/>
        <c:axId val="38247123"/>
      </c:barChart>
      <c:catAx>
        <c:axId val="8925623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47123"/>
        <c:crosses val="autoZero"/>
        <c:auto val="1"/>
        <c:lblAlgn val="ctr"/>
        <c:lblOffset val="100"/>
        <c:noMultiLvlLbl val="0"/>
      </c:catAx>
      <c:valAx>
        <c:axId val="38247123"/>
        <c:scaling>
          <c:orientation val="minMax"/>
          <c:max val="5"/>
          <c:min val="1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점수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56235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155520</xdr:rowOff>
    </xdr:from>
    <xdr:to>
      <xdr:col>4</xdr:col>
      <xdr:colOff>612360</xdr:colOff>
      <xdr:row>33</xdr:row>
      <xdr:rowOff>135720</xdr:rowOff>
    </xdr:to>
    <xdr:graphicFrame>
      <xdr:nvGraphicFramePr>
        <xdr:cNvPr id="0" name="Chart 1"/>
        <xdr:cNvGraphicFramePr/>
      </xdr:nvGraphicFramePr>
      <xdr:xfrm>
        <a:off x="622440" y="3048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7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6.4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5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6" t="s">
        <v>16</v>
      </c>
      <c r="G15" s="6" t="s">
        <v>17</v>
      </c>
      <c r="H15" s="6" t="s">
        <v>18</v>
      </c>
      <c r="I15" s="6" t="s">
        <v>19</v>
      </c>
    </row>
    <row r="16" customFormat="false" ht="15" hidden="false" customHeight="false" outlineLevel="0" collapsed="false">
      <c r="A16" s="7" t="n">
        <v>30215</v>
      </c>
      <c r="B16" s="7" t="n">
        <v>3</v>
      </c>
      <c r="C16" s="7" t="n">
        <v>2</v>
      </c>
      <c r="D16" s="7" t="n">
        <v>1</v>
      </c>
      <c r="E16" s="7" t="n">
        <v>2</v>
      </c>
      <c r="F16" s="7" t="n">
        <v>4</v>
      </c>
      <c r="G16" s="7" t="n">
        <v>2</v>
      </c>
      <c r="H16" s="7" t="n">
        <v>2</v>
      </c>
      <c r="I16" s="7" t="n">
        <v>3</v>
      </c>
    </row>
    <row r="18" customFormat="false" ht="15" hidden="false" customHeight="false" outlineLevel="0" collapsed="false">
      <c r="A18" s="8" t="s">
        <v>20</v>
      </c>
    </row>
    <row r="19" customFormat="false" ht="15" hidden="false" customHeight="false" outlineLevel="0" collapsed="false">
      <c r="A19" s="9" t="s">
        <v>12</v>
      </c>
      <c r="B19" s="10" t="s">
        <v>21</v>
      </c>
    </row>
    <row r="20" customFormat="false" ht="15" hidden="false" customHeight="false" outlineLevel="0" collapsed="false">
      <c r="A20" s="9" t="s">
        <v>13</v>
      </c>
      <c r="B20" s="10" t="s">
        <v>22</v>
      </c>
    </row>
    <row r="21" customFormat="false" ht="15" hidden="false" customHeight="false" outlineLevel="0" collapsed="false">
      <c r="A21" s="9" t="s">
        <v>14</v>
      </c>
      <c r="B21" s="10" t="s">
        <v>23</v>
      </c>
    </row>
    <row r="22" customFormat="false" ht="15" hidden="false" customHeight="false" outlineLevel="0" collapsed="false">
      <c r="A22" s="9" t="s">
        <v>15</v>
      </c>
      <c r="B22" s="10" t="s">
        <v>24</v>
      </c>
    </row>
    <row r="23" customFormat="false" ht="15" hidden="false" customHeight="false" outlineLevel="0" collapsed="false">
      <c r="A23" s="9" t="s">
        <v>16</v>
      </c>
      <c r="B23" s="10" t="s">
        <v>25</v>
      </c>
    </row>
    <row r="24" customFormat="false" ht="15" hidden="false" customHeight="false" outlineLevel="0" collapsed="false">
      <c r="A24" s="9" t="s">
        <v>17</v>
      </c>
      <c r="B24" s="11" t="s">
        <v>26</v>
      </c>
    </row>
    <row r="25" customFormat="false" ht="15" hidden="false" customHeight="false" outlineLevel="0" collapsed="false">
      <c r="A25" s="9" t="s">
        <v>18</v>
      </c>
      <c r="B25" s="10" t="s">
        <v>27</v>
      </c>
    </row>
    <row r="26" customFormat="false" ht="15" hidden="false" customHeight="false" outlineLevel="0" collapsed="false">
      <c r="A26" s="9" t="s">
        <v>19</v>
      </c>
      <c r="B26" s="10" t="s">
        <v>28</v>
      </c>
    </row>
    <row r="27" customFormat="false" ht="15" hidden="false" customHeight="false" outlineLevel="0" collapsed="false">
      <c r="A27" s="1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5"/>
  </cols>
  <sheetData>
    <row r="1" customFormat="false" ht="19.4" hidden="false" customHeight="false" outlineLevel="0" collapsed="false">
      <c r="A1" s="1" t="s">
        <v>30</v>
      </c>
    </row>
    <row r="2" customFormat="false" ht="15" hidden="false" customHeight="false" outlineLevel="0" collapsed="false">
      <c r="A2" s="12" t="s">
        <v>31</v>
      </c>
    </row>
    <row r="4" customFormat="false" ht="15" hidden="false" customHeight="false" outlineLevel="0" collapsed="false">
      <c r="A4" s="5" t="s">
        <v>20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6" t="s">
        <v>38</v>
      </c>
      <c r="I4" s="6" t="s">
        <v>39</v>
      </c>
      <c r="J4" s="5" t="s">
        <v>40</v>
      </c>
    </row>
    <row r="5" customFormat="false" ht="28.35" hidden="false" customHeight="false" outlineLevel="0" collapsed="false">
      <c r="A5" s="13" t="s">
        <v>12</v>
      </c>
      <c r="B5" s="14" t="s">
        <v>21</v>
      </c>
      <c r="C5" s="15" t="str">
        <f aca="false">IFERROR(AVERAGE(사전!B2:B41),"-")</f>
        <v>-</v>
      </c>
      <c r="D5" s="15" t="str">
        <f aca="false">IFERROR(AVERAGE(사후!B2:B41),"-")</f>
        <v>-</v>
      </c>
      <c r="E5" s="15" t="str">
        <f aca="false">IFERROR(AVERAGE(대응!B2:B41),"-")</f>
        <v>-</v>
      </c>
      <c r="F5" s="13" t="n">
        <f aca="false">COUNT(대응!B2:B41)</f>
        <v>0</v>
      </c>
      <c r="G5" s="15" t="str">
        <f aca="false">IF(F5&gt;=2,STDEV(대응!B2:B41),"-")</f>
        <v>-</v>
      </c>
      <c r="H5" s="15" t="str">
        <f aca="false">IFERROR(E5/(G5/SQRT(F5)),"-")</f>
        <v>-</v>
      </c>
      <c r="I5" s="16" t="str">
        <f aca="false">IFERROR(TDIST(ABS(H5),F5-1,2),"-")</f>
        <v>-</v>
      </c>
      <c r="J5" s="13" t="str">
        <f aca="false">IF(ISNUMBER(I5),IF(I5&lt;0.05,"유의함 (p&lt;.05)","유의하지 않음"),"자료 부족")</f>
        <v>자료 부족</v>
      </c>
    </row>
    <row r="6" customFormat="false" ht="15" hidden="false" customHeight="false" outlineLevel="0" collapsed="false">
      <c r="A6" s="13" t="s">
        <v>13</v>
      </c>
      <c r="B6" s="14" t="s">
        <v>22</v>
      </c>
      <c r="C6" s="15" t="str">
        <f aca="false">IFERROR(AVERAGE(사전!C2:C41),"-")</f>
        <v>-</v>
      </c>
      <c r="D6" s="15" t="str">
        <f aca="false">IFERROR(AVERAGE(사후!C2:C41),"-")</f>
        <v>-</v>
      </c>
      <c r="E6" s="15" t="str">
        <f aca="false">IFERROR(AVERAGE(대응!C2:C41),"-")</f>
        <v>-</v>
      </c>
      <c r="F6" s="13" t="n">
        <f aca="false">COUNT(대응!C2:C41)</f>
        <v>0</v>
      </c>
      <c r="G6" s="15" t="str">
        <f aca="false">IF(F6&gt;=2,STDEV(대응!C2:C41),"-")</f>
        <v>-</v>
      </c>
      <c r="H6" s="15" t="str">
        <f aca="false">IFERROR(E6/(G6/SQRT(F6)),"-")</f>
        <v>-</v>
      </c>
      <c r="I6" s="16" t="str">
        <f aca="false">IFERROR(TDIST(ABS(H6),F6-1,2),"-")</f>
        <v>-</v>
      </c>
      <c r="J6" s="13" t="str">
        <f aca="false">IF(ISNUMBER(I6),IF(I6&lt;0.05,"유의함 (p&lt;.05)","유의하지 않음"),"자료 부족")</f>
        <v>자료 부족</v>
      </c>
    </row>
    <row r="7" customFormat="false" ht="15" hidden="false" customHeight="false" outlineLevel="0" collapsed="false">
      <c r="A7" s="13" t="s">
        <v>14</v>
      </c>
      <c r="B7" s="14" t="s">
        <v>23</v>
      </c>
      <c r="C7" s="15" t="str">
        <f aca="false">IFERROR(AVERAGE(사전!D2:D41),"-")</f>
        <v>-</v>
      </c>
      <c r="D7" s="15" t="str">
        <f aca="false">IFERROR(AVERAGE(사후!D2:D41),"-")</f>
        <v>-</v>
      </c>
      <c r="E7" s="15" t="str">
        <f aca="false">IFERROR(AVERAGE(대응!D2:D41),"-")</f>
        <v>-</v>
      </c>
      <c r="F7" s="13" t="n">
        <f aca="false">COUNT(대응!D2:D41)</f>
        <v>0</v>
      </c>
      <c r="G7" s="15" t="str">
        <f aca="false">IF(F7&gt;=2,STDEV(대응!D2:D41),"-")</f>
        <v>-</v>
      </c>
      <c r="H7" s="15" t="str">
        <f aca="false">IFERROR(E7/(G7/SQRT(F7)),"-")</f>
        <v>-</v>
      </c>
      <c r="I7" s="16" t="str">
        <f aca="false">IFERROR(TDIST(ABS(H7),F7-1,2),"-")</f>
        <v>-</v>
      </c>
      <c r="J7" s="13" t="str">
        <f aca="false">IF(ISNUMBER(I7),IF(I7&lt;0.05,"유의함 (p&lt;.05)","유의하지 않음"),"자료 부족")</f>
        <v>자료 부족</v>
      </c>
    </row>
    <row r="8" customFormat="false" ht="15" hidden="false" customHeight="false" outlineLevel="0" collapsed="false">
      <c r="A8" s="13" t="s">
        <v>15</v>
      </c>
      <c r="B8" s="14" t="s">
        <v>24</v>
      </c>
      <c r="C8" s="15" t="str">
        <f aca="false">IFERROR(AVERAGE(사전!E2:E41),"-")</f>
        <v>-</v>
      </c>
      <c r="D8" s="15" t="str">
        <f aca="false">IFERROR(AVERAGE(사후!E2:E41),"-")</f>
        <v>-</v>
      </c>
      <c r="E8" s="15" t="str">
        <f aca="false">IFERROR(AVERAGE(대응!E2:E41),"-")</f>
        <v>-</v>
      </c>
      <c r="F8" s="13" t="n">
        <f aca="false">COUNT(대응!E2:E41)</f>
        <v>0</v>
      </c>
      <c r="G8" s="15" t="str">
        <f aca="false">IF(F8&gt;=2,STDEV(대응!E2:E41),"-")</f>
        <v>-</v>
      </c>
      <c r="H8" s="15" t="str">
        <f aca="false">IFERROR(E8/(G8/SQRT(F8)),"-")</f>
        <v>-</v>
      </c>
      <c r="I8" s="16" t="str">
        <f aca="false">IFERROR(TDIST(ABS(H8),F8-1,2),"-")</f>
        <v>-</v>
      </c>
      <c r="J8" s="13" t="str">
        <f aca="false">IF(ISNUMBER(I8),IF(I8&lt;0.05,"유의함 (p&lt;.05)","유의하지 않음"),"자료 부족")</f>
        <v>자료 부족</v>
      </c>
    </row>
    <row r="9" customFormat="false" ht="15" hidden="false" customHeight="false" outlineLevel="0" collapsed="false">
      <c r="A9" s="13" t="s">
        <v>16</v>
      </c>
      <c r="B9" s="14" t="s">
        <v>25</v>
      </c>
      <c r="C9" s="15" t="str">
        <f aca="false">IFERROR(AVERAGE(사전!F2:F41),"-")</f>
        <v>-</v>
      </c>
      <c r="D9" s="15" t="str">
        <f aca="false">IFERROR(AVERAGE(사후!F2:F41),"-")</f>
        <v>-</v>
      </c>
      <c r="E9" s="15" t="str">
        <f aca="false">IFERROR(AVERAGE(대응!F2:F41),"-")</f>
        <v>-</v>
      </c>
      <c r="F9" s="13" t="n">
        <f aca="false">COUNT(대응!F2:F41)</f>
        <v>0</v>
      </c>
      <c r="G9" s="15" t="str">
        <f aca="false">IF(F9&gt;=2,STDEV(대응!F2:F41),"-")</f>
        <v>-</v>
      </c>
      <c r="H9" s="15" t="str">
        <f aca="false">IFERROR(E9/(G9/SQRT(F9)),"-")</f>
        <v>-</v>
      </c>
      <c r="I9" s="16" t="str">
        <f aca="false">IFERROR(TDIST(ABS(H9),F9-1,2),"-")</f>
        <v>-</v>
      </c>
      <c r="J9" s="13" t="str">
        <f aca="false">IF(ISNUMBER(I9),IF(I9&lt;0.05,"유의함 (p&lt;.05)","유의하지 않음"),"자료 부족")</f>
        <v>자료 부족</v>
      </c>
    </row>
    <row r="10" customFormat="false" ht="15" hidden="false" customHeight="false" outlineLevel="0" collapsed="false">
      <c r="A10" s="13" t="s">
        <v>17</v>
      </c>
      <c r="B10" s="17" t="s">
        <v>26</v>
      </c>
      <c r="C10" s="15" t="str">
        <f aca="false">IFERROR(AVERAGE(사전!G2:G41),"-")</f>
        <v>-</v>
      </c>
      <c r="D10" s="15" t="str">
        <f aca="false">IFERROR(AVERAGE(사후!G2:G41),"-")</f>
        <v>-</v>
      </c>
      <c r="E10" s="15" t="str">
        <f aca="false">IFERROR(AVERAGE(대응!G2:G41),"-")</f>
        <v>-</v>
      </c>
      <c r="F10" s="13" t="n">
        <f aca="false">COUNT(대응!G2:G41)</f>
        <v>0</v>
      </c>
      <c r="G10" s="15" t="str">
        <f aca="false">IF(F10&gt;=2,STDEV(대응!G2:G41),"-")</f>
        <v>-</v>
      </c>
      <c r="H10" s="15" t="str">
        <f aca="false">IFERROR(E10/(G10/SQRT(F10)),"-")</f>
        <v>-</v>
      </c>
      <c r="I10" s="16" t="str">
        <f aca="false">IFERROR(TDIST(ABS(H10),F10-1,2),"-")</f>
        <v>-</v>
      </c>
      <c r="J10" s="13" t="str">
        <f aca="false">IF(ISNUMBER(I10),IF(I10&lt;0.05,"유의함 (p&lt;.05)","유의하지 않음"),"자료 부족")</f>
        <v>자료 부족</v>
      </c>
    </row>
    <row r="11" customFormat="false" ht="15" hidden="false" customHeight="false" outlineLevel="0" collapsed="false">
      <c r="A11" s="13" t="s">
        <v>18</v>
      </c>
      <c r="B11" s="14" t="s">
        <v>27</v>
      </c>
      <c r="C11" s="15" t="str">
        <f aca="false">IFERROR(AVERAGE(사전!H2:H41),"-")</f>
        <v>-</v>
      </c>
      <c r="D11" s="15" t="str">
        <f aca="false">IFERROR(AVERAGE(사후!H2:H41),"-")</f>
        <v>-</v>
      </c>
      <c r="E11" s="15" t="str">
        <f aca="false">IFERROR(AVERAGE(대응!H2:H41),"-")</f>
        <v>-</v>
      </c>
      <c r="F11" s="13" t="n">
        <f aca="false">COUNT(대응!H2:H41)</f>
        <v>0</v>
      </c>
      <c r="G11" s="15" t="str">
        <f aca="false">IF(F11&gt;=2,STDEV(대응!H2:H41),"-")</f>
        <v>-</v>
      </c>
      <c r="H11" s="15" t="str">
        <f aca="false">IFERROR(E11/(G11/SQRT(F11)),"-")</f>
        <v>-</v>
      </c>
      <c r="I11" s="16" t="str">
        <f aca="false">IFERROR(TDIST(ABS(H11),F11-1,2),"-")</f>
        <v>-</v>
      </c>
      <c r="J11" s="13" t="str">
        <f aca="false">IF(ISNUMBER(I11),IF(I11&lt;0.05,"유의함 (p&lt;.05)","유의하지 않음"),"자료 부족")</f>
        <v>자료 부족</v>
      </c>
    </row>
    <row r="12" customFormat="false" ht="15" hidden="false" customHeight="false" outlineLevel="0" collapsed="false">
      <c r="A12" s="13" t="s">
        <v>19</v>
      </c>
      <c r="B12" s="14" t="s">
        <v>28</v>
      </c>
      <c r="C12" s="15" t="str">
        <f aca="false">IFERROR(AVERAGE(사전!I2:I41),"-")</f>
        <v>-</v>
      </c>
      <c r="D12" s="15" t="str">
        <f aca="false">IFERROR(AVERAGE(사후!I2:I41),"-")</f>
        <v>-</v>
      </c>
      <c r="E12" s="15" t="str">
        <f aca="false">IFERROR(AVERAGE(대응!I2:I41),"-")</f>
        <v>-</v>
      </c>
      <c r="F12" s="13" t="n">
        <f aca="false">COUNT(대응!I2:I41)</f>
        <v>0</v>
      </c>
      <c r="G12" s="15" t="str">
        <f aca="false">IF(F12&gt;=2,STDEV(대응!I2:I41),"-")</f>
        <v>-</v>
      </c>
      <c r="H12" s="15" t="str">
        <f aca="false">IFERROR(E12/(G12/SQRT(F12)),"-")</f>
        <v>-</v>
      </c>
      <c r="I12" s="16" t="str">
        <f aca="false">IFERROR(TDIST(ABS(H12),F12-1,2),"-")</f>
        <v>-</v>
      </c>
      <c r="J12" s="13" t="str">
        <f aca="false">IF(ISNUMBER(I12),IF(I12&lt;0.05,"유의함 (p&lt;.05)","유의하지 않음"),"자료 부족")</f>
        <v>자료 부족</v>
      </c>
    </row>
    <row r="13" customFormat="false" ht="15" hidden="false" customHeight="false" outlineLevel="0" collapsed="false">
      <c r="A13" s="18" t="s">
        <v>41</v>
      </c>
      <c r="B13" s="19" t="s">
        <v>42</v>
      </c>
      <c r="C13" s="20" t="str">
        <f aca="false">IFERROR(AVERAGE(사전!B2:F41),"-")</f>
        <v>-</v>
      </c>
      <c r="D13" s="20" t="str">
        <f aca="false">IFERROR(AVERAGE(사후!B2:F41),"-")</f>
        <v>-</v>
      </c>
      <c r="E13" s="20" t="str">
        <f aca="false">IFERROR(AVERAGE(대응!J2:J41),"-")</f>
        <v>-</v>
      </c>
      <c r="F13" s="18" t="n">
        <f aca="false">COUNT(대응!J2:J41)</f>
        <v>0</v>
      </c>
      <c r="G13" s="20" t="str">
        <f aca="false">IF(F13&gt;=2,STDEV(대응!J2:J41),"-")</f>
        <v>-</v>
      </c>
      <c r="H13" s="20" t="str">
        <f aca="false">IFERROR(E13/(G13/SQRT(F13)),"-")</f>
        <v>-</v>
      </c>
      <c r="I13" s="21" t="str">
        <f aca="false">IFERROR(TDIST(ABS(H13),F13-1,2),"-")</f>
        <v>-</v>
      </c>
      <c r="J13" s="18" t="str">
        <f aca="false">IF(ISNUMBER(I13),IF(I13&lt;0.05,"유의함 (p&lt;.05)","유의하지 않음"),"자료 부족")</f>
        <v>자료 부족</v>
      </c>
    </row>
    <row r="14" customFormat="false" ht="15" hidden="false" customHeight="false" outlineLevel="0" collapsed="false">
      <c r="A14" s="18" t="s">
        <v>41</v>
      </c>
      <c r="B14" s="19" t="s">
        <v>43</v>
      </c>
      <c r="C14" s="20" t="str">
        <f aca="false">IFERROR(AVERAGE(사전!G2:I41),"-")</f>
        <v>-</v>
      </c>
      <c r="D14" s="20" t="str">
        <f aca="false">IFERROR(AVERAGE(사후!G2:I41),"-")</f>
        <v>-</v>
      </c>
      <c r="E14" s="20" t="str">
        <f aca="false">IFERROR(AVERAGE(대응!K2:K41),"-")</f>
        <v>-</v>
      </c>
      <c r="F14" s="18" t="n">
        <f aca="false">COUNT(대응!K2:K41)</f>
        <v>0</v>
      </c>
      <c r="G14" s="20" t="str">
        <f aca="false">IF(F14&gt;=2,STDEV(대응!K2:K41),"-")</f>
        <v>-</v>
      </c>
      <c r="H14" s="20" t="str">
        <f aca="false">IFERROR(E14/(G14/SQRT(F14)),"-")</f>
        <v>-</v>
      </c>
      <c r="I14" s="21" t="str">
        <f aca="false">IFERROR(TDIST(ABS(H14),F14-1,2),"-")</f>
        <v>-</v>
      </c>
      <c r="J14" s="18" t="str">
        <f aca="false">IF(ISNUMBER(I14),IF(I14&lt;0.05,"유의함 (p&lt;.05)","유의하지 않음"),"자료 부족")</f>
        <v>자료 부족</v>
      </c>
    </row>
    <row r="15" customFormat="false" ht="15" hidden="false" customHeight="false" outlineLevel="0" collapsed="false">
      <c r="A15" s="2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7"/>
  </cols>
  <sheetData>
    <row r="1" customFormat="false" ht="15" hidden="false" customHeight="false" outlineLevel="0" collapsed="false">
      <c r="A1" s="5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</row>
  </sheetData>
  <dataValidations count="1">
    <dataValidation allowBlank="true" error="1~5 사이 정수를 입력하세요." errorStyle="stop" errorTitle="점수 범위" operator="between" showDropDown="false" showErrorMessage="true" showInputMessage="false" sqref="B2:I4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7"/>
  </cols>
  <sheetData>
    <row r="1" customFormat="false" ht="15" hidden="false" customHeight="false" outlineLevel="0" collapsed="false">
      <c r="A1" s="5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</row>
  </sheetData>
  <dataValidations count="1">
    <dataValidation allowBlank="true" error="1~5 사이 정수를 입력하세요." errorStyle="stop" errorTitle="점수 범위" operator="between" showDropDown="false" showErrorMessage="true" showInputMessage="false" sqref="B2:I4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1"/>
  </cols>
  <sheetData>
    <row r="1" customFormat="false" ht="41.75" hidden="false" customHeight="false" outlineLevel="0" collapsed="false">
      <c r="A1" s="23" t="s">
        <v>11</v>
      </c>
      <c r="B1" s="24" t="s">
        <v>45</v>
      </c>
      <c r="C1" s="24" t="s">
        <v>46</v>
      </c>
      <c r="D1" s="24" t="s">
        <v>47</v>
      </c>
      <c r="E1" s="24" t="s">
        <v>48</v>
      </c>
      <c r="F1" s="24" t="s">
        <v>49</v>
      </c>
      <c r="G1" s="24" t="s">
        <v>50</v>
      </c>
      <c r="H1" s="24" t="s">
        <v>51</v>
      </c>
      <c r="I1" s="24" t="s">
        <v>52</v>
      </c>
      <c r="J1" s="23" t="s">
        <v>53</v>
      </c>
      <c r="K1" s="23" t="s">
        <v>54</v>
      </c>
    </row>
    <row r="2" customFormat="false" ht="15" hidden="false" customHeight="false" outlineLevel="0" collapsed="false">
      <c r="A2" s="25" t="str">
        <f aca="false">IF(사전!A2="","",사전!A2)</f>
        <v/>
      </c>
      <c r="B2" s="25" t="str">
        <f aca="false">IFERROR(IF(AND($A2&lt;&gt;"",ISNUMBER(사전!B2),ISNUMBER(INDEX(사후!B$2:B$41,MATCH($A2,사후!$A$2:$A$41,0)))),INDEX(사후!B$2:B$41,MATCH($A2,사후!$A$2:$A$41,0))-사전!B2,""),"")</f>
        <v/>
      </c>
      <c r="C2" s="25" t="str">
        <f aca="false">IFERROR(IF(AND($A2&lt;&gt;"",ISNUMBER(사전!C2),ISNUMBER(INDEX(사후!C$2:C$41,MATCH($A2,사후!$A$2:$A$41,0)))),INDEX(사후!C$2:C$41,MATCH($A2,사후!$A$2:$A$41,0))-사전!C2,""),"")</f>
        <v/>
      </c>
      <c r="D2" s="25" t="str">
        <f aca="false">IFERROR(IF(AND($A2&lt;&gt;"",ISNUMBER(사전!D2),ISNUMBER(INDEX(사후!D$2:D$41,MATCH($A2,사후!$A$2:$A$41,0)))),INDEX(사후!D$2:D$41,MATCH($A2,사후!$A$2:$A$41,0))-사전!D2,""),"")</f>
        <v/>
      </c>
      <c r="E2" s="25" t="str">
        <f aca="false">IFERROR(IF(AND($A2&lt;&gt;"",ISNUMBER(사전!E2),ISNUMBER(INDEX(사후!E$2:E$41,MATCH($A2,사후!$A$2:$A$41,0)))),INDEX(사후!E$2:E$41,MATCH($A2,사후!$A$2:$A$41,0))-사전!E2,""),"")</f>
        <v/>
      </c>
      <c r="F2" s="25" t="str">
        <f aca="false">IFERROR(IF(AND($A2&lt;&gt;"",ISNUMBER(사전!F2),ISNUMBER(INDEX(사후!F$2:F$41,MATCH($A2,사후!$A$2:$A$41,0)))),INDEX(사후!F$2:F$41,MATCH($A2,사후!$A$2:$A$41,0))-사전!F2,""),"")</f>
        <v/>
      </c>
      <c r="G2" s="25" t="str">
        <f aca="false">IFERROR(IF(AND($A2&lt;&gt;"",ISNUMBER(사전!G2),ISNUMBER(INDEX(사후!G$2:G$41,MATCH($A2,사후!$A$2:$A$41,0)))),INDEX(사후!G$2:G$41,MATCH($A2,사후!$A$2:$A$41,0))-사전!G2,""),"")</f>
        <v/>
      </c>
      <c r="H2" s="25" t="str">
        <f aca="false">IFERROR(IF(AND($A2&lt;&gt;"",ISNUMBER(사전!H2),ISNUMBER(INDEX(사후!H$2:H$41,MATCH($A2,사후!$A$2:$A$41,0)))),INDEX(사후!H$2:H$41,MATCH($A2,사후!$A$2:$A$41,0))-사전!H2,""),"")</f>
        <v/>
      </c>
      <c r="I2" s="25" t="str">
        <f aca="false">IFERROR(IF(AND($A2&lt;&gt;"",ISNUMBER(사전!I2),ISNUMBER(INDEX(사후!I$2:I$41,MATCH($A2,사후!$A$2:$A$41,0)))),INDEX(사후!I$2:I$41,MATCH($A2,사후!$A$2:$A$41,0))-사전!I2,""),"")</f>
        <v/>
      </c>
      <c r="J2" s="25" t="str">
        <f aca="false">IF(COUNT(B2:F2)=5,AVERAGE(B2:F2),"")</f>
        <v/>
      </c>
      <c r="K2" s="25" t="str">
        <f aca="false">IF(COUNT(G2:I2)=3,AVERAGE(G2:I2),"")</f>
        <v/>
      </c>
    </row>
    <row r="3" customFormat="false" ht="15" hidden="false" customHeight="false" outlineLevel="0" collapsed="false">
      <c r="A3" s="25" t="str">
        <f aca="false">IF(사전!A3="","",사전!A3)</f>
        <v/>
      </c>
      <c r="B3" s="25" t="str">
        <f aca="false">IFERROR(IF(AND($A3&lt;&gt;"",ISNUMBER(사전!B3),ISNUMBER(INDEX(사후!B$2:B$41,MATCH($A3,사후!$A$2:$A$41,0)))),INDEX(사후!B$2:B$41,MATCH($A3,사후!$A$2:$A$41,0))-사전!B3,""),"")</f>
        <v/>
      </c>
      <c r="C3" s="25" t="str">
        <f aca="false">IFERROR(IF(AND($A3&lt;&gt;"",ISNUMBER(사전!C3),ISNUMBER(INDEX(사후!C$2:C$41,MATCH($A3,사후!$A$2:$A$41,0)))),INDEX(사후!C$2:C$41,MATCH($A3,사후!$A$2:$A$41,0))-사전!C3,""),"")</f>
        <v/>
      </c>
      <c r="D3" s="25" t="str">
        <f aca="false">IFERROR(IF(AND($A3&lt;&gt;"",ISNUMBER(사전!D3),ISNUMBER(INDEX(사후!D$2:D$41,MATCH($A3,사후!$A$2:$A$41,0)))),INDEX(사후!D$2:D$41,MATCH($A3,사후!$A$2:$A$41,0))-사전!D3,""),"")</f>
        <v/>
      </c>
      <c r="E3" s="25" t="str">
        <f aca="false">IFERROR(IF(AND($A3&lt;&gt;"",ISNUMBER(사전!E3),ISNUMBER(INDEX(사후!E$2:E$41,MATCH($A3,사후!$A$2:$A$41,0)))),INDEX(사후!E$2:E$41,MATCH($A3,사후!$A$2:$A$41,0))-사전!E3,""),"")</f>
        <v/>
      </c>
      <c r="F3" s="25" t="str">
        <f aca="false">IFERROR(IF(AND($A3&lt;&gt;"",ISNUMBER(사전!F3),ISNUMBER(INDEX(사후!F$2:F$41,MATCH($A3,사후!$A$2:$A$41,0)))),INDEX(사후!F$2:F$41,MATCH($A3,사후!$A$2:$A$41,0))-사전!F3,""),"")</f>
        <v/>
      </c>
      <c r="G3" s="25" t="str">
        <f aca="false">IFERROR(IF(AND($A3&lt;&gt;"",ISNUMBER(사전!G3),ISNUMBER(INDEX(사후!G$2:G$41,MATCH($A3,사후!$A$2:$A$41,0)))),INDEX(사후!G$2:G$41,MATCH($A3,사후!$A$2:$A$41,0))-사전!G3,""),"")</f>
        <v/>
      </c>
      <c r="H3" s="25" t="str">
        <f aca="false">IFERROR(IF(AND($A3&lt;&gt;"",ISNUMBER(사전!H3),ISNUMBER(INDEX(사후!H$2:H$41,MATCH($A3,사후!$A$2:$A$41,0)))),INDEX(사후!H$2:H$41,MATCH($A3,사후!$A$2:$A$41,0))-사전!H3,""),"")</f>
        <v/>
      </c>
      <c r="I3" s="25" t="str">
        <f aca="false">IFERROR(IF(AND($A3&lt;&gt;"",ISNUMBER(사전!I3),ISNUMBER(INDEX(사후!I$2:I$41,MATCH($A3,사후!$A$2:$A$41,0)))),INDEX(사후!I$2:I$41,MATCH($A3,사후!$A$2:$A$41,0))-사전!I3,""),"")</f>
        <v/>
      </c>
      <c r="J3" s="25" t="str">
        <f aca="false">IF(COUNT(B3:F3)=5,AVERAGE(B3:F3),"")</f>
        <v/>
      </c>
      <c r="K3" s="25" t="str">
        <f aca="false">IF(COUNT(G3:I3)=3,AVERAGE(G3:I3),"")</f>
        <v/>
      </c>
    </row>
    <row r="4" customFormat="false" ht="15" hidden="false" customHeight="false" outlineLevel="0" collapsed="false">
      <c r="A4" s="25" t="str">
        <f aca="false">IF(사전!A4="","",사전!A4)</f>
        <v/>
      </c>
      <c r="B4" s="25" t="str">
        <f aca="false">IFERROR(IF(AND($A4&lt;&gt;"",ISNUMBER(사전!B4),ISNUMBER(INDEX(사후!B$2:B$41,MATCH($A4,사후!$A$2:$A$41,0)))),INDEX(사후!B$2:B$41,MATCH($A4,사후!$A$2:$A$41,0))-사전!B4,""),"")</f>
        <v/>
      </c>
      <c r="C4" s="25" t="str">
        <f aca="false">IFERROR(IF(AND($A4&lt;&gt;"",ISNUMBER(사전!C4),ISNUMBER(INDEX(사후!C$2:C$41,MATCH($A4,사후!$A$2:$A$41,0)))),INDEX(사후!C$2:C$41,MATCH($A4,사후!$A$2:$A$41,0))-사전!C4,""),"")</f>
        <v/>
      </c>
      <c r="D4" s="25" t="str">
        <f aca="false">IFERROR(IF(AND($A4&lt;&gt;"",ISNUMBER(사전!D4),ISNUMBER(INDEX(사후!D$2:D$41,MATCH($A4,사후!$A$2:$A$41,0)))),INDEX(사후!D$2:D$41,MATCH($A4,사후!$A$2:$A$41,0))-사전!D4,""),"")</f>
        <v/>
      </c>
      <c r="E4" s="25" t="str">
        <f aca="false">IFERROR(IF(AND($A4&lt;&gt;"",ISNUMBER(사전!E4),ISNUMBER(INDEX(사후!E$2:E$41,MATCH($A4,사후!$A$2:$A$41,0)))),INDEX(사후!E$2:E$41,MATCH($A4,사후!$A$2:$A$41,0))-사전!E4,""),"")</f>
        <v/>
      </c>
      <c r="F4" s="25" t="str">
        <f aca="false">IFERROR(IF(AND($A4&lt;&gt;"",ISNUMBER(사전!F4),ISNUMBER(INDEX(사후!F$2:F$41,MATCH($A4,사후!$A$2:$A$41,0)))),INDEX(사후!F$2:F$41,MATCH($A4,사후!$A$2:$A$41,0))-사전!F4,""),"")</f>
        <v/>
      </c>
      <c r="G4" s="25" t="str">
        <f aca="false">IFERROR(IF(AND($A4&lt;&gt;"",ISNUMBER(사전!G4),ISNUMBER(INDEX(사후!G$2:G$41,MATCH($A4,사후!$A$2:$A$41,0)))),INDEX(사후!G$2:G$41,MATCH($A4,사후!$A$2:$A$41,0))-사전!G4,""),"")</f>
        <v/>
      </c>
      <c r="H4" s="25" t="str">
        <f aca="false">IFERROR(IF(AND($A4&lt;&gt;"",ISNUMBER(사전!H4),ISNUMBER(INDEX(사후!H$2:H$41,MATCH($A4,사후!$A$2:$A$41,0)))),INDEX(사후!H$2:H$41,MATCH($A4,사후!$A$2:$A$41,0))-사전!H4,""),"")</f>
        <v/>
      </c>
      <c r="I4" s="25" t="str">
        <f aca="false">IFERROR(IF(AND($A4&lt;&gt;"",ISNUMBER(사전!I4),ISNUMBER(INDEX(사후!I$2:I$41,MATCH($A4,사후!$A$2:$A$41,0)))),INDEX(사후!I$2:I$41,MATCH($A4,사후!$A$2:$A$41,0))-사전!I4,""),"")</f>
        <v/>
      </c>
      <c r="J4" s="25" t="str">
        <f aca="false">IF(COUNT(B4:F4)=5,AVERAGE(B4:F4),"")</f>
        <v/>
      </c>
      <c r="K4" s="25" t="str">
        <f aca="false">IF(COUNT(G4:I4)=3,AVERAGE(G4:I4),"")</f>
        <v/>
      </c>
    </row>
    <row r="5" customFormat="false" ht="15" hidden="false" customHeight="false" outlineLevel="0" collapsed="false">
      <c r="A5" s="25" t="str">
        <f aca="false">IF(사전!A5="","",사전!A5)</f>
        <v/>
      </c>
      <c r="B5" s="25" t="str">
        <f aca="false">IFERROR(IF(AND($A5&lt;&gt;"",ISNUMBER(사전!B5),ISNUMBER(INDEX(사후!B$2:B$41,MATCH($A5,사후!$A$2:$A$41,0)))),INDEX(사후!B$2:B$41,MATCH($A5,사후!$A$2:$A$41,0))-사전!B5,""),"")</f>
        <v/>
      </c>
      <c r="C5" s="25" t="str">
        <f aca="false">IFERROR(IF(AND($A5&lt;&gt;"",ISNUMBER(사전!C5),ISNUMBER(INDEX(사후!C$2:C$41,MATCH($A5,사후!$A$2:$A$41,0)))),INDEX(사후!C$2:C$41,MATCH($A5,사후!$A$2:$A$41,0))-사전!C5,""),"")</f>
        <v/>
      </c>
      <c r="D5" s="25" t="str">
        <f aca="false">IFERROR(IF(AND($A5&lt;&gt;"",ISNUMBER(사전!D5),ISNUMBER(INDEX(사후!D$2:D$41,MATCH($A5,사후!$A$2:$A$41,0)))),INDEX(사후!D$2:D$41,MATCH($A5,사후!$A$2:$A$41,0))-사전!D5,""),"")</f>
        <v/>
      </c>
      <c r="E5" s="25" t="str">
        <f aca="false">IFERROR(IF(AND($A5&lt;&gt;"",ISNUMBER(사전!E5),ISNUMBER(INDEX(사후!E$2:E$41,MATCH($A5,사후!$A$2:$A$41,0)))),INDEX(사후!E$2:E$41,MATCH($A5,사후!$A$2:$A$41,0))-사전!E5,""),"")</f>
        <v/>
      </c>
      <c r="F5" s="25" t="str">
        <f aca="false">IFERROR(IF(AND($A5&lt;&gt;"",ISNUMBER(사전!F5),ISNUMBER(INDEX(사후!F$2:F$41,MATCH($A5,사후!$A$2:$A$41,0)))),INDEX(사후!F$2:F$41,MATCH($A5,사후!$A$2:$A$41,0))-사전!F5,""),"")</f>
        <v/>
      </c>
      <c r="G5" s="25" t="str">
        <f aca="false">IFERROR(IF(AND($A5&lt;&gt;"",ISNUMBER(사전!G5),ISNUMBER(INDEX(사후!G$2:G$41,MATCH($A5,사후!$A$2:$A$41,0)))),INDEX(사후!G$2:G$41,MATCH($A5,사후!$A$2:$A$41,0))-사전!G5,""),"")</f>
        <v/>
      </c>
      <c r="H5" s="25" t="str">
        <f aca="false">IFERROR(IF(AND($A5&lt;&gt;"",ISNUMBER(사전!H5),ISNUMBER(INDEX(사후!H$2:H$41,MATCH($A5,사후!$A$2:$A$41,0)))),INDEX(사후!H$2:H$41,MATCH($A5,사후!$A$2:$A$41,0))-사전!H5,""),"")</f>
        <v/>
      </c>
      <c r="I5" s="25" t="str">
        <f aca="false">IFERROR(IF(AND($A5&lt;&gt;"",ISNUMBER(사전!I5),ISNUMBER(INDEX(사후!I$2:I$41,MATCH($A5,사후!$A$2:$A$41,0)))),INDEX(사후!I$2:I$41,MATCH($A5,사후!$A$2:$A$41,0))-사전!I5,""),"")</f>
        <v/>
      </c>
      <c r="J5" s="25" t="str">
        <f aca="false">IF(COUNT(B5:F5)=5,AVERAGE(B5:F5),"")</f>
        <v/>
      </c>
      <c r="K5" s="25" t="str">
        <f aca="false">IF(COUNT(G5:I5)=3,AVERAGE(G5:I5),"")</f>
        <v/>
      </c>
    </row>
    <row r="6" customFormat="false" ht="15" hidden="false" customHeight="false" outlineLevel="0" collapsed="false">
      <c r="A6" s="25" t="str">
        <f aca="false">IF(사전!A6="","",사전!A6)</f>
        <v/>
      </c>
      <c r="B6" s="25" t="str">
        <f aca="false">IFERROR(IF(AND($A6&lt;&gt;"",ISNUMBER(사전!B6),ISNUMBER(INDEX(사후!B$2:B$41,MATCH($A6,사후!$A$2:$A$41,0)))),INDEX(사후!B$2:B$41,MATCH($A6,사후!$A$2:$A$41,0))-사전!B6,""),"")</f>
        <v/>
      </c>
      <c r="C6" s="25" t="str">
        <f aca="false">IFERROR(IF(AND($A6&lt;&gt;"",ISNUMBER(사전!C6),ISNUMBER(INDEX(사후!C$2:C$41,MATCH($A6,사후!$A$2:$A$41,0)))),INDEX(사후!C$2:C$41,MATCH($A6,사후!$A$2:$A$41,0))-사전!C6,""),"")</f>
        <v/>
      </c>
      <c r="D6" s="25" t="str">
        <f aca="false">IFERROR(IF(AND($A6&lt;&gt;"",ISNUMBER(사전!D6),ISNUMBER(INDEX(사후!D$2:D$41,MATCH($A6,사후!$A$2:$A$41,0)))),INDEX(사후!D$2:D$41,MATCH($A6,사후!$A$2:$A$41,0))-사전!D6,""),"")</f>
        <v/>
      </c>
      <c r="E6" s="25" t="str">
        <f aca="false">IFERROR(IF(AND($A6&lt;&gt;"",ISNUMBER(사전!E6),ISNUMBER(INDEX(사후!E$2:E$41,MATCH($A6,사후!$A$2:$A$41,0)))),INDEX(사후!E$2:E$41,MATCH($A6,사후!$A$2:$A$41,0))-사전!E6,""),"")</f>
        <v/>
      </c>
      <c r="F6" s="25" t="str">
        <f aca="false">IFERROR(IF(AND($A6&lt;&gt;"",ISNUMBER(사전!F6),ISNUMBER(INDEX(사후!F$2:F$41,MATCH($A6,사후!$A$2:$A$41,0)))),INDEX(사후!F$2:F$41,MATCH($A6,사후!$A$2:$A$41,0))-사전!F6,""),"")</f>
        <v/>
      </c>
      <c r="G6" s="25" t="str">
        <f aca="false">IFERROR(IF(AND($A6&lt;&gt;"",ISNUMBER(사전!G6),ISNUMBER(INDEX(사후!G$2:G$41,MATCH($A6,사후!$A$2:$A$41,0)))),INDEX(사후!G$2:G$41,MATCH($A6,사후!$A$2:$A$41,0))-사전!G6,""),"")</f>
        <v/>
      </c>
      <c r="H6" s="25" t="str">
        <f aca="false">IFERROR(IF(AND($A6&lt;&gt;"",ISNUMBER(사전!H6),ISNUMBER(INDEX(사후!H$2:H$41,MATCH($A6,사후!$A$2:$A$41,0)))),INDEX(사후!H$2:H$41,MATCH($A6,사후!$A$2:$A$41,0))-사전!H6,""),"")</f>
        <v/>
      </c>
      <c r="I6" s="25" t="str">
        <f aca="false">IFERROR(IF(AND($A6&lt;&gt;"",ISNUMBER(사전!I6),ISNUMBER(INDEX(사후!I$2:I$41,MATCH($A6,사후!$A$2:$A$41,0)))),INDEX(사후!I$2:I$41,MATCH($A6,사후!$A$2:$A$41,0))-사전!I6,""),"")</f>
        <v/>
      </c>
      <c r="J6" s="25" t="str">
        <f aca="false">IF(COUNT(B6:F6)=5,AVERAGE(B6:F6),"")</f>
        <v/>
      </c>
      <c r="K6" s="25" t="str">
        <f aca="false">IF(COUNT(G6:I6)=3,AVERAGE(G6:I6),"")</f>
        <v/>
      </c>
    </row>
    <row r="7" customFormat="false" ht="15" hidden="false" customHeight="false" outlineLevel="0" collapsed="false">
      <c r="A7" s="25" t="str">
        <f aca="false">IF(사전!A7="","",사전!A7)</f>
        <v/>
      </c>
      <c r="B7" s="25" t="str">
        <f aca="false">IFERROR(IF(AND($A7&lt;&gt;"",ISNUMBER(사전!B7),ISNUMBER(INDEX(사후!B$2:B$41,MATCH($A7,사후!$A$2:$A$41,0)))),INDEX(사후!B$2:B$41,MATCH($A7,사후!$A$2:$A$41,0))-사전!B7,""),"")</f>
        <v/>
      </c>
      <c r="C7" s="25" t="str">
        <f aca="false">IFERROR(IF(AND($A7&lt;&gt;"",ISNUMBER(사전!C7),ISNUMBER(INDEX(사후!C$2:C$41,MATCH($A7,사후!$A$2:$A$41,0)))),INDEX(사후!C$2:C$41,MATCH($A7,사후!$A$2:$A$41,0))-사전!C7,""),"")</f>
        <v/>
      </c>
      <c r="D7" s="25" t="str">
        <f aca="false">IFERROR(IF(AND($A7&lt;&gt;"",ISNUMBER(사전!D7),ISNUMBER(INDEX(사후!D$2:D$41,MATCH($A7,사후!$A$2:$A$41,0)))),INDEX(사후!D$2:D$41,MATCH($A7,사후!$A$2:$A$41,0))-사전!D7,""),"")</f>
        <v/>
      </c>
      <c r="E7" s="25" t="str">
        <f aca="false">IFERROR(IF(AND($A7&lt;&gt;"",ISNUMBER(사전!E7),ISNUMBER(INDEX(사후!E$2:E$41,MATCH($A7,사후!$A$2:$A$41,0)))),INDEX(사후!E$2:E$41,MATCH($A7,사후!$A$2:$A$41,0))-사전!E7,""),"")</f>
        <v/>
      </c>
      <c r="F7" s="25" t="str">
        <f aca="false">IFERROR(IF(AND($A7&lt;&gt;"",ISNUMBER(사전!F7),ISNUMBER(INDEX(사후!F$2:F$41,MATCH($A7,사후!$A$2:$A$41,0)))),INDEX(사후!F$2:F$41,MATCH($A7,사후!$A$2:$A$41,0))-사전!F7,""),"")</f>
        <v/>
      </c>
      <c r="G7" s="25" t="str">
        <f aca="false">IFERROR(IF(AND($A7&lt;&gt;"",ISNUMBER(사전!G7),ISNUMBER(INDEX(사후!G$2:G$41,MATCH($A7,사후!$A$2:$A$41,0)))),INDEX(사후!G$2:G$41,MATCH($A7,사후!$A$2:$A$41,0))-사전!G7,""),"")</f>
        <v/>
      </c>
      <c r="H7" s="25" t="str">
        <f aca="false">IFERROR(IF(AND($A7&lt;&gt;"",ISNUMBER(사전!H7),ISNUMBER(INDEX(사후!H$2:H$41,MATCH($A7,사후!$A$2:$A$41,0)))),INDEX(사후!H$2:H$41,MATCH($A7,사후!$A$2:$A$41,0))-사전!H7,""),"")</f>
        <v/>
      </c>
      <c r="I7" s="25" t="str">
        <f aca="false">IFERROR(IF(AND($A7&lt;&gt;"",ISNUMBER(사전!I7),ISNUMBER(INDEX(사후!I$2:I$41,MATCH($A7,사후!$A$2:$A$41,0)))),INDEX(사후!I$2:I$41,MATCH($A7,사후!$A$2:$A$41,0))-사전!I7,""),"")</f>
        <v/>
      </c>
      <c r="J7" s="25" t="str">
        <f aca="false">IF(COUNT(B7:F7)=5,AVERAGE(B7:F7),"")</f>
        <v/>
      </c>
      <c r="K7" s="25" t="str">
        <f aca="false">IF(COUNT(G7:I7)=3,AVERAGE(G7:I7),"")</f>
        <v/>
      </c>
    </row>
    <row r="8" customFormat="false" ht="15" hidden="false" customHeight="false" outlineLevel="0" collapsed="false">
      <c r="A8" s="25" t="str">
        <f aca="false">IF(사전!A8="","",사전!A8)</f>
        <v/>
      </c>
      <c r="B8" s="25" t="str">
        <f aca="false">IFERROR(IF(AND($A8&lt;&gt;"",ISNUMBER(사전!B8),ISNUMBER(INDEX(사후!B$2:B$41,MATCH($A8,사후!$A$2:$A$41,0)))),INDEX(사후!B$2:B$41,MATCH($A8,사후!$A$2:$A$41,0))-사전!B8,""),"")</f>
        <v/>
      </c>
      <c r="C8" s="25" t="str">
        <f aca="false">IFERROR(IF(AND($A8&lt;&gt;"",ISNUMBER(사전!C8),ISNUMBER(INDEX(사후!C$2:C$41,MATCH($A8,사후!$A$2:$A$41,0)))),INDEX(사후!C$2:C$41,MATCH($A8,사후!$A$2:$A$41,0))-사전!C8,""),"")</f>
        <v/>
      </c>
      <c r="D8" s="25" t="str">
        <f aca="false">IFERROR(IF(AND($A8&lt;&gt;"",ISNUMBER(사전!D8),ISNUMBER(INDEX(사후!D$2:D$41,MATCH($A8,사후!$A$2:$A$41,0)))),INDEX(사후!D$2:D$41,MATCH($A8,사후!$A$2:$A$41,0))-사전!D8,""),"")</f>
        <v/>
      </c>
      <c r="E8" s="25" t="str">
        <f aca="false">IFERROR(IF(AND($A8&lt;&gt;"",ISNUMBER(사전!E8),ISNUMBER(INDEX(사후!E$2:E$41,MATCH($A8,사후!$A$2:$A$41,0)))),INDEX(사후!E$2:E$41,MATCH($A8,사후!$A$2:$A$41,0))-사전!E8,""),"")</f>
        <v/>
      </c>
      <c r="F8" s="25" t="str">
        <f aca="false">IFERROR(IF(AND($A8&lt;&gt;"",ISNUMBER(사전!F8),ISNUMBER(INDEX(사후!F$2:F$41,MATCH($A8,사후!$A$2:$A$41,0)))),INDEX(사후!F$2:F$41,MATCH($A8,사후!$A$2:$A$41,0))-사전!F8,""),"")</f>
        <v/>
      </c>
      <c r="G8" s="25" t="str">
        <f aca="false">IFERROR(IF(AND($A8&lt;&gt;"",ISNUMBER(사전!G8),ISNUMBER(INDEX(사후!G$2:G$41,MATCH($A8,사후!$A$2:$A$41,0)))),INDEX(사후!G$2:G$41,MATCH($A8,사후!$A$2:$A$41,0))-사전!G8,""),"")</f>
        <v/>
      </c>
      <c r="H8" s="25" t="str">
        <f aca="false">IFERROR(IF(AND($A8&lt;&gt;"",ISNUMBER(사전!H8),ISNUMBER(INDEX(사후!H$2:H$41,MATCH($A8,사후!$A$2:$A$41,0)))),INDEX(사후!H$2:H$41,MATCH($A8,사후!$A$2:$A$41,0))-사전!H8,""),"")</f>
        <v/>
      </c>
      <c r="I8" s="25" t="str">
        <f aca="false">IFERROR(IF(AND($A8&lt;&gt;"",ISNUMBER(사전!I8),ISNUMBER(INDEX(사후!I$2:I$41,MATCH($A8,사후!$A$2:$A$41,0)))),INDEX(사후!I$2:I$41,MATCH($A8,사후!$A$2:$A$41,0))-사전!I8,""),"")</f>
        <v/>
      </c>
      <c r="J8" s="25" t="str">
        <f aca="false">IF(COUNT(B8:F8)=5,AVERAGE(B8:F8),"")</f>
        <v/>
      </c>
      <c r="K8" s="25" t="str">
        <f aca="false">IF(COUNT(G8:I8)=3,AVERAGE(G8:I8),"")</f>
        <v/>
      </c>
    </row>
    <row r="9" customFormat="false" ht="15" hidden="false" customHeight="false" outlineLevel="0" collapsed="false">
      <c r="A9" s="25" t="str">
        <f aca="false">IF(사전!A9="","",사전!A9)</f>
        <v/>
      </c>
      <c r="B9" s="25" t="str">
        <f aca="false">IFERROR(IF(AND($A9&lt;&gt;"",ISNUMBER(사전!B9),ISNUMBER(INDEX(사후!B$2:B$41,MATCH($A9,사후!$A$2:$A$41,0)))),INDEX(사후!B$2:B$41,MATCH($A9,사후!$A$2:$A$41,0))-사전!B9,""),"")</f>
        <v/>
      </c>
      <c r="C9" s="25" t="str">
        <f aca="false">IFERROR(IF(AND($A9&lt;&gt;"",ISNUMBER(사전!C9),ISNUMBER(INDEX(사후!C$2:C$41,MATCH($A9,사후!$A$2:$A$41,0)))),INDEX(사후!C$2:C$41,MATCH($A9,사후!$A$2:$A$41,0))-사전!C9,""),"")</f>
        <v/>
      </c>
      <c r="D9" s="25" t="str">
        <f aca="false">IFERROR(IF(AND($A9&lt;&gt;"",ISNUMBER(사전!D9),ISNUMBER(INDEX(사후!D$2:D$41,MATCH($A9,사후!$A$2:$A$41,0)))),INDEX(사후!D$2:D$41,MATCH($A9,사후!$A$2:$A$41,0))-사전!D9,""),"")</f>
        <v/>
      </c>
      <c r="E9" s="25" t="str">
        <f aca="false">IFERROR(IF(AND($A9&lt;&gt;"",ISNUMBER(사전!E9),ISNUMBER(INDEX(사후!E$2:E$41,MATCH($A9,사후!$A$2:$A$41,0)))),INDEX(사후!E$2:E$41,MATCH($A9,사후!$A$2:$A$41,0))-사전!E9,""),"")</f>
        <v/>
      </c>
      <c r="F9" s="25" t="str">
        <f aca="false">IFERROR(IF(AND($A9&lt;&gt;"",ISNUMBER(사전!F9),ISNUMBER(INDEX(사후!F$2:F$41,MATCH($A9,사후!$A$2:$A$41,0)))),INDEX(사후!F$2:F$41,MATCH($A9,사후!$A$2:$A$41,0))-사전!F9,""),"")</f>
        <v/>
      </c>
      <c r="G9" s="25" t="str">
        <f aca="false">IFERROR(IF(AND($A9&lt;&gt;"",ISNUMBER(사전!G9),ISNUMBER(INDEX(사후!G$2:G$41,MATCH($A9,사후!$A$2:$A$41,0)))),INDEX(사후!G$2:G$41,MATCH($A9,사후!$A$2:$A$41,0))-사전!G9,""),"")</f>
        <v/>
      </c>
      <c r="H9" s="25" t="str">
        <f aca="false">IFERROR(IF(AND($A9&lt;&gt;"",ISNUMBER(사전!H9),ISNUMBER(INDEX(사후!H$2:H$41,MATCH($A9,사후!$A$2:$A$41,0)))),INDEX(사후!H$2:H$41,MATCH($A9,사후!$A$2:$A$41,0))-사전!H9,""),"")</f>
        <v/>
      </c>
      <c r="I9" s="25" t="str">
        <f aca="false">IFERROR(IF(AND($A9&lt;&gt;"",ISNUMBER(사전!I9),ISNUMBER(INDEX(사후!I$2:I$41,MATCH($A9,사후!$A$2:$A$41,0)))),INDEX(사후!I$2:I$41,MATCH($A9,사후!$A$2:$A$41,0))-사전!I9,""),"")</f>
        <v/>
      </c>
      <c r="J9" s="25" t="str">
        <f aca="false">IF(COUNT(B9:F9)=5,AVERAGE(B9:F9),"")</f>
        <v/>
      </c>
      <c r="K9" s="25" t="str">
        <f aca="false">IF(COUNT(G9:I9)=3,AVERAGE(G9:I9),"")</f>
        <v/>
      </c>
    </row>
    <row r="10" customFormat="false" ht="15" hidden="false" customHeight="false" outlineLevel="0" collapsed="false">
      <c r="A10" s="25" t="str">
        <f aca="false">IF(사전!A10="","",사전!A10)</f>
        <v/>
      </c>
      <c r="B10" s="25" t="str">
        <f aca="false">IFERROR(IF(AND($A10&lt;&gt;"",ISNUMBER(사전!B10),ISNUMBER(INDEX(사후!B$2:B$41,MATCH($A10,사후!$A$2:$A$41,0)))),INDEX(사후!B$2:B$41,MATCH($A10,사후!$A$2:$A$41,0))-사전!B10,""),"")</f>
        <v/>
      </c>
      <c r="C10" s="25" t="str">
        <f aca="false">IFERROR(IF(AND($A10&lt;&gt;"",ISNUMBER(사전!C10),ISNUMBER(INDEX(사후!C$2:C$41,MATCH($A10,사후!$A$2:$A$41,0)))),INDEX(사후!C$2:C$41,MATCH($A10,사후!$A$2:$A$41,0))-사전!C10,""),"")</f>
        <v/>
      </c>
      <c r="D10" s="25" t="str">
        <f aca="false">IFERROR(IF(AND($A10&lt;&gt;"",ISNUMBER(사전!D10),ISNUMBER(INDEX(사후!D$2:D$41,MATCH($A10,사후!$A$2:$A$41,0)))),INDEX(사후!D$2:D$41,MATCH($A10,사후!$A$2:$A$41,0))-사전!D10,""),"")</f>
        <v/>
      </c>
      <c r="E10" s="25" t="str">
        <f aca="false">IFERROR(IF(AND($A10&lt;&gt;"",ISNUMBER(사전!E10),ISNUMBER(INDEX(사후!E$2:E$41,MATCH($A10,사후!$A$2:$A$41,0)))),INDEX(사후!E$2:E$41,MATCH($A10,사후!$A$2:$A$41,0))-사전!E10,""),"")</f>
        <v/>
      </c>
      <c r="F10" s="25" t="str">
        <f aca="false">IFERROR(IF(AND($A10&lt;&gt;"",ISNUMBER(사전!F10),ISNUMBER(INDEX(사후!F$2:F$41,MATCH($A10,사후!$A$2:$A$41,0)))),INDEX(사후!F$2:F$41,MATCH($A10,사후!$A$2:$A$41,0))-사전!F10,""),"")</f>
        <v/>
      </c>
      <c r="G10" s="25" t="str">
        <f aca="false">IFERROR(IF(AND($A10&lt;&gt;"",ISNUMBER(사전!G10),ISNUMBER(INDEX(사후!G$2:G$41,MATCH($A10,사후!$A$2:$A$41,0)))),INDEX(사후!G$2:G$41,MATCH($A10,사후!$A$2:$A$41,0))-사전!G10,""),"")</f>
        <v/>
      </c>
      <c r="H10" s="25" t="str">
        <f aca="false">IFERROR(IF(AND($A10&lt;&gt;"",ISNUMBER(사전!H10),ISNUMBER(INDEX(사후!H$2:H$41,MATCH($A10,사후!$A$2:$A$41,0)))),INDEX(사후!H$2:H$41,MATCH($A10,사후!$A$2:$A$41,0))-사전!H10,""),"")</f>
        <v/>
      </c>
      <c r="I10" s="25" t="str">
        <f aca="false">IFERROR(IF(AND($A10&lt;&gt;"",ISNUMBER(사전!I10),ISNUMBER(INDEX(사후!I$2:I$41,MATCH($A10,사후!$A$2:$A$41,0)))),INDEX(사후!I$2:I$41,MATCH($A10,사후!$A$2:$A$41,0))-사전!I10,""),"")</f>
        <v/>
      </c>
      <c r="J10" s="25" t="str">
        <f aca="false">IF(COUNT(B10:F10)=5,AVERAGE(B10:F10),"")</f>
        <v/>
      </c>
      <c r="K10" s="25" t="str">
        <f aca="false">IF(COUNT(G10:I10)=3,AVERAGE(G10:I10),"")</f>
        <v/>
      </c>
    </row>
    <row r="11" customFormat="false" ht="15" hidden="false" customHeight="false" outlineLevel="0" collapsed="false">
      <c r="A11" s="25" t="str">
        <f aca="false">IF(사전!A11="","",사전!A11)</f>
        <v/>
      </c>
      <c r="B11" s="25" t="str">
        <f aca="false">IFERROR(IF(AND($A11&lt;&gt;"",ISNUMBER(사전!B11),ISNUMBER(INDEX(사후!B$2:B$41,MATCH($A11,사후!$A$2:$A$41,0)))),INDEX(사후!B$2:B$41,MATCH($A11,사후!$A$2:$A$41,0))-사전!B11,""),"")</f>
        <v/>
      </c>
      <c r="C11" s="25" t="str">
        <f aca="false">IFERROR(IF(AND($A11&lt;&gt;"",ISNUMBER(사전!C11),ISNUMBER(INDEX(사후!C$2:C$41,MATCH($A11,사후!$A$2:$A$41,0)))),INDEX(사후!C$2:C$41,MATCH($A11,사후!$A$2:$A$41,0))-사전!C11,""),"")</f>
        <v/>
      </c>
      <c r="D11" s="25" t="str">
        <f aca="false">IFERROR(IF(AND($A11&lt;&gt;"",ISNUMBER(사전!D11),ISNUMBER(INDEX(사후!D$2:D$41,MATCH($A11,사후!$A$2:$A$41,0)))),INDEX(사후!D$2:D$41,MATCH($A11,사후!$A$2:$A$41,0))-사전!D11,""),"")</f>
        <v/>
      </c>
      <c r="E11" s="25" t="str">
        <f aca="false">IFERROR(IF(AND($A11&lt;&gt;"",ISNUMBER(사전!E11),ISNUMBER(INDEX(사후!E$2:E$41,MATCH($A11,사후!$A$2:$A$41,0)))),INDEX(사후!E$2:E$41,MATCH($A11,사후!$A$2:$A$41,0))-사전!E11,""),"")</f>
        <v/>
      </c>
      <c r="F11" s="25" t="str">
        <f aca="false">IFERROR(IF(AND($A11&lt;&gt;"",ISNUMBER(사전!F11),ISNUMBER(INDEX(사후!F$2:F$41,MATCH($A11,사후!$A$2:$A$41,0)))),INDEX(사후!F$2:F$41,MATCH($A11,사후!$A$2:$A$41,0))-사전!F11,""),"")</f>
        <v/>
      </c>
      <c r="G11" s="25" t="str">
        <f aca="false">IFERROR(IF(AND($A11&lt;&gt;"",ISNUMBER(사전!G11),ISNUMBER(INDEX(사후!G$2:G$41,MATCH($A11,사후!$A$2:$A$41,0)))),INDEX(사후!G$2:G$41,MATCH($A11,사후!$A$2:$A$41,0))-사전!G11,""),"")</f>
        <v/>
      </c>
      <c r="H11" s="25" t="str">
        <f aca="false">IFERROR(IF(AND($A11&lt;&gt;"",ISNUMBER(사전!H11),ISNUMBER(INDEX(사후!H$2:H$41,MATCH($A11,사후!$A$2:$A$41,0)))),INDEX(사후!H$2:H$41,MATCH($A11,사후!$A$2:$A$41,0))-사전!H11,""),"")</f>
        <v/>
      </c>
      <c r="I11" s="25" t="str">
        <f aca="false">IFERROR(IF(AND($A11&lt;&gt;"",ISNUMBER(사전!I11),ISNUMBER(INDEX(사후!I$2:I$41,MATCH($A11,사후!$A$2:$A$41,0)))),INDEX(사후!I$2:I$41,MATCH($A11,사후!$A$2:$A$41,0))-사전!I11,""),"")</f>
        <v/>
      </c>
      <c r="J11" s="25" t="str">
        <f aca="false">IF(COUNT(B11:F11)=5,AVERAGE(B11:F11),"")</f>
        <v/>
      </c>
      <c r="K11" s="25" t="str">
        <f aca="false">IF(COUNT(G11:I11)=3,AVERAGE(G11:I11),"")</f>
        <v/>
      </c>
    </row>
    <row r="12" customFormat="false" ht="15" hidden="false" customHeight="false" outlineLevel="0" collapsed="false">
      <c r="A12" s="25" t="str">
        <f aca="false">IF(사전!A12="","",사전!A12)</f>
        <v/>
      </c>
      <c r="B12" s="25" t="str">
        <f aca="false">IFERROR(IF(AND($A12&lt;&gt;"",ISNUMBER(사전!B12),ISNUMBER(INDEX(사후!B$2:B$41,MATCH($A12,사후!$A$2:$A$41,0)))),INDEX(사후!B$2:B$41,MATCH($A12,사후!$A$2:$A$41,0))-사전!B12,""),"")</f>
        <v/>
      </c>
      <c r="C12" s="25" t="str">
        <f aca="false">IFERROR(IF(AND($A12&lt;&gt;"",ISNUMBER(사전!C12),ISNUMBER(INDEX(사후!C$2:C$41,MATCH($A12,사후!$A$2:$A$41,0)))),INDEX(사후!C$2:C$41,MATCH($A12,사후!$A$2:$A$41,0))-사전!C12,""),"")</f>
        <v/>
      </c>
      <c r="D12" s="25" t="str">
        <f aca="false">IFERROR(IF(AND($A12&lt;&gt;"",ISNUMBER(사전!D12),ISNUMBER(INDEX(사후!D$2:D$41,MATCH($A12,사후!$A$2:$A$41,0)))),INDEX(사후!D$2:D$41,MATCH($A12,사후!$A$2:$A$41,0))-사전!D12,""),"")</f>
        <v/>
      </c>
      <c r="E12" s="25" t="str">
        <f aca="false">IFERROR(IF(AND($A12&lt;&gt;"",ISNUMBER(사전!E12),ISNUMBER(INDEX(사후!E$2:E$41,MATCH($A12,사후!$A$2:$A$41,0)))),INDEX(사후!E$2:E$41,MATCH($A12,사후!$A$2:$A$41,0))-사전!E12,""),"")</f>
        <v/>
      </c>
      <c r="F12" s="25" t="str">
        <f aca="false">IFERROR(IF(AND($A12&lt;&gt;"",ISNUMBER(사전!F12),ISNUMBER(INDEX(사후!F$2:F$41,MATCH($A12,사후!$A$2:$A$41,0)))),INDEX(사후!F$2:F$41,MATCH($A12,사후!$A$2:$A$41,0))-사전!F12,""),"")</f>
        <v/>
      </c>
      <c r="G12" s="25" t="str">
        <f aca="false">IFERROR(IF(AND($A12&lt;&gt;"",ISNUMBER(사전!G12),ISNUMBER(INDEX(사후!G$2:G$41,MATCH($A12,사후!$A$2:$A$41,0)))),INDEX(사후!G$2:G$41,MATCH($A12,사후!$A$2:$A$41,0))-사전!G12,""),"")</f>
        <v/>
      </c>
      <c r="H12" s="25" t="str">
        <f aca="false">IFERROR(IF(AND($A12&lt;&gt;"",ISNUMBER(사전!H12),ISNUMBER(INDEX(사후!H$2:H$41,MATCH($A12,사후!$A$2:$A$41,0)))),INDEX(사후!H$2:H$41,MATCH($A12,사후!$A$2:$A$41,0))-사전!H12,""),"")</f>
        <v/>
      </c>
      <c r="I12" s="25" t="str">
        <f aca="false">IFERROR(IF(AND($A12&lt;&gt;"",ISNUMBER(사전!I12),ISNUMBER(INDEX(사후!I$2:I$41,MATCH($A12,사후!$A$2:$A$41,0)))),INDEX(사후!I$2:I$41,MATCH($A12,사후!$A$2:$A$41,0))-사전!I12,""),"")</f>
        <v/>
      </c>
      <c r="J12" s="25" t="str">
        <f aca="false">IF(COUNT(B12:F12)=5,AVERAGE(B12:F12),"")</f>
        <v/>
      </c>
      <c r="K12" s="25" t="str">
        <f aca="false">IF(COUNT(G12:I12)=3,AVERAGE(G12:I12),"")</f>
        <v/>
      </c>
    </row>
    <row r="13" customFormat="false" ht="15" hidden="false" customHeight="false" outlineLevel="0" collapsed="false">
      <c r="A13" s="25" t="str">
        <f aca="false">IF(사전!A13="","",사전!A13)</f>
        <v/>
      </c>
      <c r="B13" s="25" t="str">
        <f aca="false">IFERROR(IF(AND($A13&lt;&gt;"",ISNUMBER(사전!B13),ISNUMBER(INDEX(사후!B$2:B$41,MATCH($A13,사후!$A$2:$A$41,0)))),INDEX(사후!B$2:B$41,MATCH($A13,사후!$A$2:$A$41,0))-사전!B13,""),"")</f>
        <v/>
      </c>
      <c r="C13" s="25" t="str">
        <f aca="false">IFERROR(IF(AND($A13&lt;&gt;"",ISNUMBER(사전!C13),ISNUMBER(INDEX(사후!C$2:C$41,MATCH($A13,사후!$A$2:$A$41,0)))),INDEX(사후!C$2:C$41,MATCH($A13,사후!$A$2:$A$41,0))-사전!C13,""),"")</f>
        <v/>
      </c>
      <c r="D13" s="25" t="str">
        <f aca="false">IFERROR(IF(AND($A13&lt;&gt;"",ISNUMBER(사전!D13),ISNUMBER(INDEX(사후!D$2:D$41,MATCH($A13,사후!$A$2:$A$41,0)))),INDEX(사후!D$2:D$41,MATCH($A13,사후!$A$2:$A$41,0))-사전!D13,""),"")</f>
        <v/>
      </c>
      <c r="E13" s="25" t="str">
        <f aca="false">IFERROR(IF(AND($A13&lt;&gt;"",ISNUMBER(사전!E13),ISNUMBER(INDEX(사후!E$2:E$41,MATCH($A13,사후!$A$2:$A$41,0)))),INDEX(사후!E$2:E$41,MATCH($A13,사후!$A$2:$A$41,0))-사전!E13,""),"")</f>
        <v/>
      </c>
      <c r="F13" s="25" t="str">
        <f aca="false">IFERROR(IF(AND($A13&lt;&gt;"",ISNUMBER(사전!F13),ISNUMBER(INDEX(사후!F$2:F$41,MATCH($A13,사후!$A$2:$A$41,0)))),INDEX(사후!F$2:F$41,MATCH($A13,사후!$A$2:$A$41,0))-사전!F13,""),"")</f>
        <v/>
      </c>
      <c r="G13" s="25" t="str">
        <f aca="false">IFERROR(IF(AND($A13&lt;&gt;"",ISNUMBER(사전!G13),ISNUMBER(INDEX(사후!G$2:G$41,MATCH($A13,사후!$A$2:$A$41,0)))),INDEX(사후!G$2:G$41,MATCH($A13,사후!$A$2:$A$41,0))-사전!G13,""),"")</f>
        <v/>
      </c>
      <c r="H13" s="25" t="str">
        <f aca="false">IFERROR(IF(AND($A13&lt;&gt;"",ISNUMBER(사전!H13),ISNUMBER(INDEX(사후!H$2:H$41,MATCH($A13,사후!$A$2:$A$41,0)))),INDEX(사후!H$2:H$41,MATCH($A13,사후!$A$2:$A$41,0))-사전!H13,""),"")</f>
        <v/>
      </c>
      <c r="I13" s="25" t="str">
        <f aca="false">IFERROR(IF(AND($A13&lt;&gt;"",ISNUMBER(사전!I13),ISNUMBER(INDEX(사후!I$2:I$41,MATCH($A13,사후!$A$2:$A$41,0)))),INDEX(사후!I$2:I$41,MATCH($A13,사후!$A$2:$A$41,0))-사전!I13,""),"")</f>
        <v/>
      </c>
      <c r="J13" s="25" t="str">
        <f aca="false">IF(COUNT(B13:F13)=5,AVERAGE(B13:F13),"")</f>
        <v/>
      </c>
      <c r="K13" s="25" t="str">
        <f aca="false">IF(COUNT(G13:I13)=3,AVERAGE(G13:I13),"")</f>
        <v/>
      </c>
    </row>
    <row r="14" customFormat="false" ht="15" hidden="false" customHeight="false" outlineLevel="0" collapsed="false">
      <c r="A14" s="25" t="str">
        <f aca="false">IF(사전!A14="","",사전!A14)</f>
        <v/>
      </c>
      <c r="B14" s="25" t="str">
        <f aca="false">IFERROR(IF(AND($A14&lt;&gt;"",ISNUMBER(사전!B14),ISNUMBER(INDEX(사후!B$2:B$41,MATCH($A14,사후!$A$2:$A$41,0)))),INDEX(사후!B$2:B$41,MATCH($A14,사후!$A$2:$A$41,0))-사전!B14,""),"")</f>
        <v/>
      </c>
      <c r="C14" s="25" t="str">
        <f aca="false">IFERROR(IF(AND($A14&lt;&gt;"",ISNUMBER(사전!C14),ISNUMBER(INDEX(사후!C$2:C$41,MATCH($A14,사후!$A$2:$A$41,0)))),INDEX(사후!C$2:C$41,MATCH($A14,사후!$A$2:$A$41,0))-사전!C14,""),"")</f>
        <v/>
      </c>
      <c r="D14" s="25" t="str">
        <f aca="false">IFERROR(IF(AND($A14&lt;&gt;"",ISNUMBER(사전!D14),ISNUMBER(INDEX(사후!D$2:D$41,MATCH($A14,사후!$A$2:$A$41,0)))),INDEX(사후!D$2:D$41,MATCH($A14,사후!$A$2:$A$41,0))-사전!D14,""),"")</f>
        <v/>
      </c>
      <c r="E14" s="25" t="str">
        <f aca="false">IFERROR(IF(AND($A14&lt;&gt;"",ISNUMBER(사전!E14),ISNUMBER(INDEX(사후!E$2:E$41,MATCH($A14,사후!$A$2:$A$41,0)))),INDEX(사후!E$2:E$41,MATCH($A14,사후!$A$2:$A$41,0))-사전!E14,""),"")</f>
        <v/>
      </c>
      <c r="F14" s="25" t="str">
        <f aca="false">IFERROR(IF(AND($A14&lt;&gt;"",ISNUMBER(사전!F14),ISNUMBER(INDEX(사후!F$2:F$41,MATCH($A14,사후!$A$2:$A$41,0)))),INDEX(사후!F$2:F$41,MATCH($A14,사후!$A$2:$A$41,0))-사전!F14,""),"")</f>
        <v/>
      </c>
      <c r="G14" s="25" t="str">
        <f aca="false">IFERROR(IF(AND($A14&lt;&gt;"",ISNUMBER(사전!G14),ISNUMBER(INDEX(사후!G$2:G$41,MATCH($A14,사후!$A$2:$A$41,0)))),INDEX(사후!G$2:G$41,MATCH($A14,사후!$A$2:$A$41,0))-사전!G14,""),"")</f>
        <v/>
      </c>
      <c r="H14" s="25" t="str">
        <f aca="false">IFERROR(IF(AND($A14&lt;&gt;"",ISNUMBER(사전!H14),ISNUMBER(INDEX(사후!H$2:H$41,MATCH($A14,사후!$A$2:$A$41,0)))),INDEX(사후!H$2:H$41,MATCH($A14,사후!$A$2:$A$41,0))-사전!H14,""),"")</f>
        <v/>
      </c>
      <c r="I14" s="25" t="str">
        <f aca="false">IFERROR(IF(AND($A14&lt;&gt;"",ISNUMBER(사전!I14),ISNUMBER(INDEX(사후!I$2:I$41,MATCH($A14,사후!$A$2:$A$41,0)))),INDEX(사후!I$2:I$41,MATCH($A14,사후!$A$2:$A$41,0))-사전!I14,""),"")</f>
        <v/>
      </c>
      <c r="J14" s="25" t="str">
        <f aca="false">IF(COUNT(B14:F14)=5,AVERAGE(B14:F14),"")</f>
        <v/>
      </c>
      <c r="K14" s="25" t="str">
        <f aca="false">IF(COUNT(G14:I14)=3,AVERAGE(G14:I14),"")</f>
        <v/>
      </c>
    </row>
    <row r="15" customFormat="false" ht="15" hidden="false" customHeight="false" outlineLevel="0" collapsed="false">
      <c r="A15" s="25" t="str">
        <f aca="false">IF(사전!A15="","",사전!A15)</f>
        <v/>
      </c>
      <c r="B15" s="25" t="str">
        <f aca="false">IFERROR(IF(AND($A15&lt;&gt;"",ISNUMBER(사전!B15),ISNUMBER(INDEX(사후!B$2:B$41,MATCH($A15,사후!$A$2:$A$41,0)))),INDEX(사후!B$2:B$41,MATCH($A15,사후!$A$2:$A$41,0))-사전!B15,""),"")</f>
        <v/>
      </c>
      <c r="C15" s="25" t="str">
        <f aca="false">IFERROR(IF(AND($A15&lt;&gt;"",ISNUMBER(사전!C15),ISNUMBER(INDEX(사후!C$2:C$41,MATCH($A15,사후!$A$2:$A$41,0)))),INDEX(사후!C$2:C$41,MATCH($A15,사후!$A$2:$A$41,0))-사전!C15,""),"")</f>
        <v/>
      </c>
      <c r="D15" s="25" t="str">
        <f aca="false">IFERROR(IF(AND($A15&lt;&gt;"",ISNUMBER(사전!D15),ISNUMBER(INDEX(사후!D$2:D$41,MATCH($A15,사후!$A$2:$A$41,0)))),INDEX(사후!D$2:D$41,MATCH($A15,사후!$A$2:$A$41,0))-사전!D15,""),"")</f>
        <v/>
      </c>
      <c r="E15" s="25" t="str">
        <f aca="false">IFERROR(IF(AND($A15&lt;&gt;"",ISNUMBER(사전!E15),ISNUMBER(INDEX(사후!E$2:E$41,MATCH($A15,사후!$A$2:$A$41,0)))),INDEX(사후!E$2:E$41,MATCH($A15,사후!$A$2:$A$41,0))-사전!E15,""),"")</f>
        <v/>
      </c>
      <c r="F15" s="25" t="str">
        <f aca="false">IFERROR(IF(AND($A15&lt;&gt;"",ISNUMBER(사전!F15),ISNUMBER(INDEX(사후!F$2:F$41,MATCH($A15,사후!$A$2:$A$41,0)))),INDEX(사후!F$2:F$41,MATCH($A15,사후!$A$2:$A$41,0))-사전!F15,""),"")</f>
        <v/>
      </c>
      <c r="G15" s="25" t="str">
        <f aca="false">IFERROR(IF(AND($A15&lt;&gt;"",ISNUMBER(사전!G15),ISNUMBER(INDEX(사후!G$2:G$41,MATCH($A15,사후!$A$2:$A$41,0)))),INDEX(사후!G$2:G$41,MATCH($A15,사후!$A$2:$A$41,0))-사전!G15,""),"")</f>
        <v/>
      </c>
      <c r="H15" s="25" t="str">
        <f aca="false">IFERROR(IF(AND($A15&lt;&gt;"",ISNUMBER(사전!H15),ISNUMBER(INDEX(사후!H$2:H$41,MATCH($A15,사후!$A$2:$A$41,0)))),INDEX(사후!H$2:H$41,MATCH($A15,사후!$A$2:$A$41,0))-사전!H15,""),"")</f>
        <v/>
      </c>
      <c r="I15" s="25" t="str">
        <f aca="false">IFERROR(IF(AND($A15&lt;&gt;"",ISNUMBER(사전!I15),ISNUMBER(INDEX(사후!I$2:I$41,MATCH($A15,사후!$A$2:$A$41,0)))),INDEX(사후!I$2:I$41,MATCH($A15,사후!$A$2:$A$41,0))-사전!I15,""),"")</f>
        <v/>
      </c>
      <c r="J15" s="25" t="str">
        <f aca="false">IF(COUNT(B15:F15)=5,AVERAGE(B15:F15),"")</f>
        <v/>
      </c>
      <c r="K15" s="25" t="str">
        <f aca="false">IF(COUNT(G15:I15)=3,AVERAGE(G15:I15),"")</f>
        <v/>
      </c>
    </row>
    <row r="16" customFormat="false" ht="15" hidden="false" customHeight="false" outlineLevel="0" collapsed="false">
      <c r="A16" s="25" t="str">
        <f aca="false">IF(사전!A16="","",사전!A16)</f>
        <v/>
      </c>
      <c r="B16" s="25" t="str">
        <f aca="false">IFERROR(IF(AND($A16&lt;&gt;"",ISNUMBER(사전!B16),ISNUMBER(INDEX(사후!B$2:B$41,MATCH($A16,사후!$A$2:$A$41,0)))),INDEX(사후!B$2:B$41,MATCH($A16,사후!$A$2:$A$41,0))-사전!B16,""),"")</f>
        <v/>
      </c>
      <c r="C16" s="25" t="str">
        <f aca="false">IFERROR(IF(AND($A16&lt;&gt;"",ISNUMBER(사전!C16),ISNUMBER(INDEX(사후!C$2:C$41,MATCH($A16,사후!$A$2:$A$41,0)))),INDEX(사후!C$2:C$41,MATCH($A16,사후!$A$2:$A$41,0))-사전!C16,""),"")</f>
        <v/>
      </c>
      <c r="D16" s="25" t="str">
        <f aca="false">IFERROR(IF(AND($A16&lt;&gt;"",ISNUMBER(사전!D16),ISNUMBER(INDEX(사후!D$2:D$41,MATCH($A16,사후!$A$2:$A$41,0)))),INDEX(사후!D$2:D$41,MATCH($A16,사후!$A$2:$A$41,0))-사전!D16,""),"")</f>
        <v/>
      </c>
      <c r="E16" s="25" t="str">
        <f aca="false">IFERROR(IF(AND($A16&lt;&gt;"",ISNUMBER(사전!E16),ISNUMBER(INDEX(사후!E$2:E$41,MATCH($A16,사후!$A$2:$A$41,0)))),INDEX(사후!E$2:E$41,MATCH($A16,사후!$A$2:$A$41,0))-사전!E16,""),"")</f>
        <v/>
      </c>
      <c r="F16" s="25" t="str">
        <f aca="false">IFERROR(IF(AND($A16&lt;&gt;"",ISNUMBER(사전!F16),ISNUMBER(INDEX(사후!F$2:F$41,MATCH($A16,사후!$A$2:$A$41,0)))),INDEX(사후!F$2:F$41,MATCH($A16,사후!$A$2:$A$41,0))-사전!F16,""),"")</f>
        <v/>
      </c>
      <c r="G16" s="25" t="str">
        <f aca="false">IFERROR(IF(AND($A16&lt;&gt;"",ISNUMBER(사전!G16),ISNUMBER(INDEX(사후!G$2:G$41,MATCH($A16,사후!$A$2:$A$41,0)))),INDEX(사후!G$2:G$41,MATCH($A16,사후!$A$2:$A$41,0))-사전!G16,""),"")</f>
        <v/>
      </c>
      <c r="H16" s="25" t="str">
        <f aca="false">IFERROR(IF(AND($A16&lt;&gt;"",ISNUMBER(사전!H16),ISNUMBER(INDEX(사후!H$2:H$41,MATCH($A16,사후!$A$2:$A$41,0)))),INDEX(사후!H$2:H$41,MATCH($A16,사후!$A$2:$A$41,0))-사전!H16,""),"")</f>
        <v/>
      </c>
      <c r="I16" s="25" t="str">
        <f aca="false">IFERROR(IF(AND($A16&lt;&gt;"",ISNUMBER(사전!I16),ISNUMBER(INDEX(사후!I$2:I$41,MATCH($A16,사후!$A$2:$A$41,0)))),INDEX(사후!I$2:I$41,MATCH($A16,사후!$A$2:$A$41,0))-사전!I16,""),"")</f>
        <v/>
      </c>
      <c r="J16" s="25" t="str">
        <f aca="false">IF(COUNT(B16:F16)=5,AVERAGE(B16:F16),"")</f>
        <v/>
      </c>
      <c r="K16" s="25" t="str">
        <f aca="false">IF(COUNT(G16:I16)=3,AVERAGE(G16:I16),"")</f>
        <v/>
      </c>
    </row>
    <row r="17" customFormat="false" ht="15" hidden="false" customHeight="false" outlineLevel="0" collapsed="false">
      <c r="A17" s="25" t="str">
        <f aca="false">IF(사전!A17="","",사전!A17)</f>
        <v/>
      </c>
      <c r="B17" s="25" t="str">
        <f aca="false">IFERROR(IF(AND($A17&lt;&gt;"",ISNUMBER(사전!B17),ISNUMBER(INDEX(사후!B$2:B$41,MATCH($A17,사후!$A$2:$A$41,0)))),INDEX(사후!B$2:B$41,MATCH($A17,사후!$A$2:$A$41,0))-사전!B17,""),"")</f>
        <v/>
      </c>
      <c r="C17" s="25" t="str">
        <f aca="false">IFERROR(IF(AND($A17&lt;&gt;"",ISNUMBER(사전!C17),ISNUMBER(INDEX(사후!C$2:C$41,MATCH($A17,사후!$A$2:$A$41,0)))),INDEX(사후!C$2:C$41,MATCH($A17,사후!$A$2:$A$41,0))-사전!C17,""),"")</f>
        <v/>
      </c>
      <c r="D17" s="25" t="str">
        <f aca="false">IFERROR(IF(AND($A17&lt;&gt;"",ISNUMBER(사전!D17),ISNUMBER(INDEX(사후!D$2:D$41,MATCH($A17,사후!$A$2:$A$41,0)))),INDEX(사후!D$2:D$41,MATCH($A17,사후!$A$2:$A$41,0))-사전!D17,""),"")</f>
        <v/>
      </c>
      <c r="E17" s="25" t="str">
        <f aca="false">IFERROR(IF(AND($A17&lt;&gt;"",ISNUMBER(사전!E17),ISNUMBER(INDEX(사후!E$2:E$41,MATCH($A17,사후!$A$2:$A$41,0)))),INDEX(사후!E$2:E$41,MATCH($A17,사후!$A$2:$A$41,0))-사전!E17,""),"")</f>
        <v/>
      </c>
      <c r="F17" s="25" t="str">
        <f aca="false">IFERROR(IF(AND($A17&lt;&gt;"",ISNUMBER(사전!F17),ISNUMBER(INDEX(사후!F$2:F$41,MATCH($A17,사후!$A$2:$A$41,0)))),INDEX(사후!F$2:F$41,MATCH($A17,사후!$A$2:$A$41,0))-사전!F17,""),"")</f>
        <v/>
      </c>
      <c r="G17" s="25" t="str">
        <f aca="false">IFERROR(IF(AND($A17&lt;&gt;"",ISNUMBER(사전!G17),ISNUMBER(INDEX(사후!G$2:G$41,MATCH($A17,사후!$A$2:$A$41,0)))),INDEX(사후!G$2:G$41,MATCH($A17,사후!$A$2:$A$41,0))-사전!G17,""),"")</f>
        <v/>
      </c>
      <c r="H17" s="25" t="str">
        <f aca="false">IFERROR(IF(AND($A17&lt;&gt;"",ISNUMBER(사전!H17),ISNUMBER(INDEX(사후!H$2:H$41,MATCH($A17,사후!$A$2:$A$41,0)))),INDEX(사후!H$2:H$41,MATCH($A17,사후!$A$2:$A$41,0))-사전!H17,""),"")</f>
        <v/>
      </c>
      <c r="I17" s="25" t="str">
        <f aca="false">IFERROR(IF(AND($A17&lt;&gt;"",ISNUMBER(사전!I17),ISNUMBER(INDEX(사후!I$2:I$41,MATCH($A17,사후!$A$2:$A$41,0)))),INDEX(사후!I$2:I$41,MATCH($A17,사후!$A$2:$A$41,0))-사전!I17,""),"")</f>
        <v/>
      </c>
      <c r="J17" s="25" t="str">
        <f aca="false">IF(COUNT(B17:F17)=5,AVERAGE(B17:F17),"")</f>
        <v/>
      </c>
      <c r="K17" s="25" t="str">
        <f aca="false">IF(COUNT(G17:I17)=3,AVERAGE(G17:I17),"")</f>
        <v/>
      </c>
    </row>
    <row r="18" customFormat="false" ht="15" hidden="false" customHeight="false" outlineLevel="0" collapsed="false">
      <c r="A18" s="25" t="str">
        <f aca="false">IF(사전!A18="","",사전!A18)</f>
        <v/>
      </c>
      <c r="B18" s="25" t="str">
        <f aca="false">IFERROR(IF(AND($A18&lt;&gt;"",ISNUMBER(사전!B18),ISNUMBER(INDEX(사후!B$2:B$41,MATCH($A18,사후!$A$2:$A$41,0)))),INDEX(사후!B$2:B$41,MATCH($A18,사후!$A$2:$A$41,0))-사전!B18,""),"")</f>
        <v/>
      </c>
      <c r="C18" s="25" t="str">
        <f aca="false">IFERROR(IF(AND($A18&lt;&gt;"",ISNUMBER(사전!C18),ISNUMBER(INDEX(사후!C$2:C$41,MATCH($A18,사후!$A$2:$A$41,0)))),INDEX(사후!C$2:C$41,MATCH($A18,사후!$A$2:$A$41,0))-사전!C18,""),"")</f>
        <v/>
      </c>
      <c r="D18" s="25" t="str">
        <f aca="false">IFERROR(IF(AND($A18&lt;&gt;"",ISNUMBER(사전!D18),ISNUMBER(INDEX(사후!D$2:D$41,MATCH($A18,사후!$A$2:$A$41,0)))),INDEX(사후!D$2:D$41,MATCH($A18,사후!$A$2:$A$41,0))-사전!D18,""),"")</f>
        <v/>
      </c>
      <c r="E18" s="25" t="str">
        <f aca="false">IFERROR(IF(AND($A18&lt;&gt;"",ISNUMBER(사전!E18),ISNUMBER(INDEX(사후!E$2:E$41,MATCH($A18,사후!$A$2:$A$41,0)))),INDEX(사후!E$2:E$41,MATCH($A18,사후!$A$2:$A$41,0))-사전!E18,""),"")</f>
        <v/>
      </c>
      <c r="F18" s="25" t="str">
        <f aca="false">IFERROR(IF(AND($A18&lt;&gt;"",ISNUMBER(사전!F18),ISNUMBER(INDEX(사후!F$2:F$41,MATCH($A18,사후!$A$2:$A$41,0)))),INDEX(사후!F$2:F$41,MATCH($A18,사후!$A$2:$A$41,0))-사전!F18,""),"")</f>
        <v/>
      </c>
      <c r="G18" s="25" t="str">
        <f aca="false">IFERROR(IF(AND($A18&lt;&gt;"",ISNUMBER(사전!G18),ISNUMBER(INDEX(사후!G$2:G$41,MATCH($A18,사후!$A$2:$A$41,0)))),INDEX(사후!G$2:G$41,MATCH($A18,사후!$A$2:$A$41,0))-사전!G18,""),"")</f>
        <v/>
      </c>
      <c r="H18" s="25" t="str">
        <f aca="false">IFERROR(IF(AND($A18&lt;&gt;"",ISNUMBER(사전!H18),ISNUMBER(INDEX(사후!H$2:H$41,MATCH($A18,사후!$A$2:$A$41,0)))),INDEX(사후!H$2:H$41,MATCH($A18,사후!$A$2:$A$41,0))-사전!H18,""),"")</f>
        <v/>
      </c>
      <c r="I18" s="25" t="str">
        <f aca="false">IFERROR(IF(AND($A18&lt;&gt;"",ISNUMBER(사전!I18),ISNUMBER(INDEX(사후!I$2:I$41,MATCH($A18,사후!$A$2:$A$41,0)))),INDEX(사후!I$2:I$41,MATCH($A18,사후!$A$2:$A$41,0))-사전!I18,""),"")</f>
        <v/>
      </c>
      <c r="J18" s="25" t="str">
        <f aca="false">IF(COUNT(B18:F18)=5,AVERAGE(B18:F18),"")</f>
        <v/>
      </c>
      <c r="K18" s="25" t="str">
        <f aca="false">IF(COUNT(G18:I18)=3,AVERAGE(G18:I18),"")</f>
        <v/>
      </c>
    </row>
    <row r="19" customFormat="false" ht="15" hidden="false" customHeight="false" outlineLevel="0" collapsed="false">
      <c r="A19" s="25" t="str">
        <f aca="false">IF(사전!A19="","",사전!A19)</f>
        <v/>
      </c>
      <c r="B19" s="25" t="str">
        <f aca="false">IFERROR(IF(AND($A19&lt;&gt;"",ISNUMBER(사전!B19),ISNUMBER(INDEX(사후!B$2:B$41,MATCH($A19,사후!$A$2:$A$41,0)))),INDEX(사후!B$2:B$41,MATCH($A19,사후!$A$2:$A$41,0))-사전!B19,""),"")</f>
        <v/>
      </c>
      <c r="C19" s="25" t="str">
        <f aca="false">IFERROR(IF(AND($A19&lt;&gt;"",ISNUMBER(사전!C19),ISNUMBER(INDEX(사후!C$2:C$41,MATCH($A19,사후!$A$2:$A$41,0)))),INDEX(사후!C$2:C$41,MATCH($A19,사후!$A$2:$A$41,0))-사전!C19,""),"")</f>
        <v/>
      </c>
      <c r="D19" s="25" t="str">
        <f aca="false">IFERROR(IF(AND($A19&lt;&gt;"",ISNUMBER(사전!D19),ISNUMBER(INDEX(사후!D$2:D$41,MATCH($A19,사후!$A$2:$A$41,0)))),INDEX(사후!D$2:D$41,MATCH($A19,사후!$A$2:$A$41,0))-사전!D19,""),"")</f>
        <v/>
      </c>
      <c r="E19" s="25" t="str">
        <f aca="false">IFERROR(IF(AND($A19&lt;&gt;"",ISNUMBER(사전!E19),ISNUMBER(INDEX(사후!E$2:E$41,MATCH($A19,사후!$A$2:$A$41,0)))),INDEX(사후!E$2:E$41,MATCH($A19,사후!$A$2:$A$41,0))-사전!E19,""),"")</f>
        <v/>
      </c>
      <c r="F19" s="25" t="str">
        <f aca="false">IFERROR(IF(AND($A19&lt;&gt;"",ISNUMBER(사전!F19),ISNUMBER(INDEX(사후!F$2:F$41,MATCH($A19,사후!$A$2:$A$41,0)))),INDEX(사후!F$2:F$41,MATCH($A19,사후!$A$2:$A$41,0))-사전!F19,""),"")</f>
        <v/>
      </c>
      <c r="G19" s="25" t="str">
        <f aca="false">IFERROR(IF(AND($A19&lt;&gt;"",ISNUMBER(사전!G19),ISNUMBER(INDEX(사후!G$2:G$41,MATCH($A19,사후!$A$2:$A$41,0)))),INDEX(사후!G$2:G$41,MATCH($A19,사후!$A$2:$A$41,0))-사전!G19,""),"")</f>
        <v/>
      </c>
      <c r="H19" s="25" t="str">
        <f aca="false">IFERROR(IF(AND($A19&lt;&gt;"",ISNUMBER(사전!H19),ISNUMBER(INDEX(사후!H$2:H$41,MATCH($A19,사후!$A$2:$A$41,0)))),INDEX(사후!H$2:H$41,MATCH($A19,사후!$A$2:$A$41,0))-사전!H19,""),"")</f>
        <v/>
      </c>
      <c r="I19" s="25" t="str">
        <f aca="false">IFERROR(IF(AND($A19&lt;&gt;"",ISNUMBER(사전!I19),ISNUMBER(INDEX(사후!I$2:I$41,MATCH($A19,사후!$A$2:$A$41,0)))),INDEX(사후!I$2:I$41,MATCH($A19,사후!$A$2:$A$41,0))-사전!I19,""),"")</f>
        <v/>
      </c>
      <c r="J19" s="25" t="str">
        <f aca="false">IF(COUNT(B19:F19)=5,AVERAGE(B19:F19),"")</f>
        <v/>
      </c>
      <c r="K19" s="25" t="str">
        <f aca="false">IF(COUNT(G19:I19)=3,AVERAGE(G19:I19),"")</f>
        <v/>
      </c>
    </row>
    <row r="20" customFormat="false" ht="15" hidden="false" customHeight="false" outlineLevel="0" collapsed="false">
      <c r="A20" s="25" t="str">
        <f aca="false">IF(사전!A20="","",사전!A20)</f>
        <v/>
      </c>
      <c r="B20" s="25" t="str">
        <f aca="false">IFERROR(IF(AND($A20&lt;&gt;"",ISNUMBER(사전!B20),ISNUMBER(INDEX(사후!B$2:B$41,MATCH($A20,사후!$A$2:$A$41,0)))),INDEX(사후!B$2:B$41,MATCH($A20,사후!$A$2:$A$41,0))-사전!B20,""),"")</f>
        <v/>
      </c>
      <c r="C20" s="25" t="str">
        <f aca="false">IFERROR(IF(AND($A20&lt;&gt;"",ISNUMBER(사전!C20),ISNUMBER(INDEX(사후!C$2:C$41,MATCH($A20,사후!$A$2:$A$41,0)))),INDEX(사후!C$2:C$41,MATCH($A20,사후!$A$2:$A$41,0))-사전!C20,""),"")</f>
        <v/>
      </c>
      <c r="D20" s="25" t="str">
        <f aca="false">IFERROR(IF(AND($A20&lt;&gt;"",ISNUMBER(사전!D20),ISNUMBER(INDEX(사후!D$2:D$41,MATCH($A20,사후!$A$2:$A$41,0)))),INDEX(사후!D$2:D$41,MATCH($A20,사후!$A$2:$A$41,0))-사전!D20,""),"")</f>
        <v/>
      </c>
      <c r="E20" s="25" t="str">
        <f aca="false">IFERROR(IF(AND($A20&lt;&gt;"",ISNUMBER(사전!E20),ISNUMBER(INDEX(사후!E$2:E$41,MATCH($A20,사후!$A$2:$A$41,0)))),INDEX(사후!E$2:E$41,MATCH($A20,사후!$A$2:$A$41,0))-사전!E20,""),"")</f>
        <v/>
      </c>
      <c r="F20" s="25" t="str">
        <f aca="false">IFERROR(IF(AND($A20&lt;&gt;"",ISNUMBER(사전!F20),ISNUMBER(INDEX(사후!F$2:F$41,MATCH($A20,사후!$A$2:$A$41,0)))),INDEX(사후!F$2:F$41,MATCH($A20,사후!$A$2:$A$41,0))-사전!F20,""),"")</f>
        <v/>
      </c>
      <c r="G20" s="25" t="str">
        <f aca="false">IFERROR(IF(AND($A20&lt;&gt;"",ISNUMBER(사전!G20),ISNUMBER(INDEX(사후!G$2:G$41,MATCH($A20,사후!$A$2:$A$41,0)))),INDEX(사후!G$2:G$41,MATCH($A20,사후!$A$2:$A$41,0))-사전!G20,""),"")</f>
        <v/>
      </c>
      <c r="H20" s="25" t="str">
        <f aca="false">IFERROR(IF(AND($A20&lt;&gt;"",ISNUMBER(사전!H20),ISNUMBER(INDEX(사후!H$2:H$41,MATCH($A20,사후!$A$2:$A$41,0)))),INDEX(사후!H$2:H$41,MATCH($A20,사후!$A$2:$A$41,0))-사전!H20,""),"")</f>
        <v/>
      </c>
      <c r="I20" s="25" t="str">
        <f aca="false">IFERROR(IF(AND($A20&lt;&gt;"",ISNUMBER(사전!I20),ISNUMBER(INDEX(사후!I$2:I$41,MATCH($A20,사후!$A$2:$A$41,0)))),INDEX(사후!I$2:I$41,MATCH($A20,사후!$A$2:$A$41,0))-사전!I20,""),"")</f>
        <v/>
      </c>
      <c r="J20" s="25" t="str">
        <f aca="false">IF(COUNT(B20:F20)=5,AVERAGE(B20:F20),"")</f>
        <v/>
      </c>
      <c r="K20" s="25" t="str">
        <f aca="false">IF(COUNT(G20:I20)=3,AVERAGE(G20:I20),"")</f>
        <v/>
      </c>
    </row>
    <row r="21" customFormat="false" ht="15" hidden="false" customHeight="false" outlineLevel="0" collapsed="false">
      <c r="A21" s="25" t="str">
        <f aca="false">IF(사전!A21="","",사전!A21)</f>
        <v/>
      </c>
      <c r="B21" s="25" t="str">
        <f aca="false">IFERROR(IF(AND($A21&lt;&gt;"",ISNUMBER(사전!B21),ISNUMBER(INDEX(사후!B$2:B$41,MATCH($A21,사후!$A$2:$A$41,0)))),INDEX(사후!B$2:B$41,MATCH($A21,사후!$A$2:$A$41,0))-사전!B21,""),"")</f>
        <v/>
      </c>
      <c r="C21" s="25" t="str">
        <f aca="false">IFERROR(IF(AND($A21&lt;&gt;"",ISNUMBER(사전!C21),ISNUMBER(INDEX(사후!C$2:C$41,MATCH($A21,사후!$A$2:$A$41,0)))),INDEX(사후!C$2:C$41,MATCH($A21,사후!$A$2:$A$41,0))-사전!C21,""),"")</f>
        <v/>
      </c>
      <c r="D21" s="25" t="str">
        <f aca="false">IFERROR(IF(AND($A21&lt;&gt;"",ISNUMBER(사전!D21),ISNUMBER(INDEX(사후!D$2:D$41,MATCH($A21,사후!$A$2:$A$41,0)))),INDEX(사후!D$2:D$41,MATCH($A21,사후!$A$2:$A$41,0))-사전!D21,""),"")</f>
        <v/>
      </c>
      <c r="E21" s="25" t="str">
        <f aca="false">IFERROR(IF(AND($A21&lt;&gt;"",ISNUMBER(사전!E21),ISNUMBER(INDEX(사후!E$2:E$41,MATCH($A21,사후!$A$2:$A$41,0)))),INDEX(사후!E$2:E$41,MATCH($A21,사후!$A$2:$A$41,0))-사전!E21,""),"")</f>
        <v/>
      </c>
      <c r="F21" s="25" t="str">
        <f aca="false">IFERROR(IF(AND($A21&lt;&gt;"",ISNUMBER(사전!F21),ISNUMBER(INDEX(사후!F$2:F$41,MATCH($A21,사후!$A$2:$A$41,0)))),INDEX(사후!F$2:F$41,MATCH($A21,사후!$A$2:$A$41,0))-사전!F21,""),"")</f>
        <v/>
      </c>
      <c r="G21" s="25" t="str">
        <f aca="false">IFERROR(IF(AND($A21&lt;&gt;"",ISNUMBER(사전!G21),ISNUMBER(INDEX(사후!G$2:G$41,MATCH($A21,사후!$A$2:$A$41,0)))),INDEX(사후!G$2:G$41,MATCH($A21,사후!$A$2:$A$41,0))-사전!G21,""),"")</f>
        <v/>
      </c>
      <c r="H21" s="25" t="str">
        <f aca="false">IFERROR(IF(AND($A21&lt;&gt;"",ISNUMBER(사전!H21),ISNUMBER(INDEX(사후!H$2:H$41,MATCH($A21,사후!$A$2:$A$41,0)))),INDEX(사후!H$2:H$41,MATCH($A21,사후!$A$2:$A$41,0))-사전!H21,""),"")</f>
        <v/>
      </c>
      <c r="I21" s="25" t="str">
        <f aca="false">IFERROR(IF(AND($A21&lt;&gt;"",ISNUMBER(사전!I21),ISNUMBER(INDEX(사후!I$2:I$41,MATCH($A21,사후!$A$2:$A$41,0)))),INDEX(사후!I$2:I$41,MATCH($A21,사후!$A$2:$A$41,0))-사전!I21,""),"")</f>
        <v/>
      </c>
      <c r="J21" s="25" t="str">
        <f aca="false">IF(COUNT(B21:F21)=5,AVERAGE(B21:F21),"")</f>
        <v/>
      </c>
      <c r="K21" s="25" t="str">
        <f aca="false">IF(COUNT(G21:I21)=3,AVERAGE(G21:I21),"")</f>
        <v/>
      </c>
    </row>
    <row r="22" customFormat="false" ht="15" hidden="false" customHeight="false" outlineLevel="0" collapsed="false">
      <c r="A22" s="25" t="str">
        <f aca="false">IF(사전!A22="","",사전!A22)</f>
        <v/>
      </c>
      <c r="B22" s="25" t="str">
        <f aca="false">IFERROR(IF(AND($A22&lt;&gt;"",ISNUMBER(사전!B22),ISNUMBER(INDEX(사후!B$2:B$41,MATCH($A22,사후!$A$2:$A$41,0)))),INDEX(사후!B$2:B$41,MATCH($A22,사후!$A$2:$A$41,0))-사전!B22,""),"")</f>
        <v/>
      </c>
      <c r="C22" s="25" t="str">
        <f aca="false">IFERROR(IF(AND($A22&lt;&gt;"",ISNUMBER(사전!C22),ISNUMBER(INDEX(사후!C$2:C$41,MATCH($A22,사후!$A$2:$A$41,0)))),INDEX(사후!C$2:C$41,MATCH($A22,사후!$A$2:$A$41,0))-사전!C22,""),"")</f>
        <v/>
      </c>
      <c r="D22" s="25" t="str">
        <f aca="false">IFERROR(IF(AND($A22&lt;&gt;"",ISNUMBER(사전!D22),ISNUMBER(INDEX(사후!D$2:D$41,MATCH($A22,사후!$A$2:$A$41,0)))),INDEX(사후!D$2:D$41,MATCH($A22,사후!$A$2:$A$41,0))-사전!D22,""),"")</f>
        <v/>
      </c>
      <c r="E22" s="25" t="str">
        <f aca="false">IFERROR(IF(AND($A22&lt;&gt;"",ISNUMBER(사전!E22),ISNUMBER(INDEX(사후!E$2:E$41,MATCH($A22,사후!$A$2:$A$41,0)))),INDEX(사후!E$2:E$41,MATCH($A22,사후!$A$2:$A$41,0))-사전!E22,""),"")</f>
        <v/>
      </c>
      <c r="F22" s="25" t="str">
        <f aca="false">IFERROR(IF(AND($A22&lt;&gt;"",ISNUMBER(사전!F22),ISNUMBER(INDEX(사후!F$2:F$41,MATCH($A22,사후!$A$2:$A$41,0)))),INDEX(사후!F$2:F$41,MATCH($A22,사후!$A$2:$A$41,0))-사전!F22,""),"")</f>
        <v/>
      </c>
      <c r="G22" s="25" t="str">
        <f aca="false">IFERROR(IF(AND($A22&lt;&gt;"",ISNUMBER(사전!G22),ISNUMBER(INDEX(사후!G$2:G$41,MATCH($A22,사후!$A$2:$A$41,0)))),INDEX(사후!G$2:G$41,MATCH($A22,사후!$A$2:$A$41,0))-사전!G22,""),"")</f>
        <v/>
      </c>
      <c r="H22" s="25" t="str">
        <f aca="false">IFERROR(IF(AND($A22&lt;&gt;"",ISNUMBER(사전!H22),ISNUMBER(INDEX(사후!H$2:H$41,MATCH($A22,사후!$A$2:$A$41,0)))),INDEX(사후!H$2:H$41,MATCH($A22,사후!$A$2:$A$41,0))-사전!H22,""),"")</f>
        <v/>
      </c>
      <c r="I22" s="25" t="str">
        <f aca="false">IFERROR(IF(AND($A22&lt;&gt;"",ISNUMBER(사전!I22),ISNUMBER(INDEX(사후!I$2:I$41,MATCH($A22,사후!$A$2:$A$41,0)))),INDEX(사후!I$2:I$41,MATCH($A22,사후!$A$2:$A$41,0))-사전!I22,""),"")</f>
        <v/>
      </c>
      <c r="J22" s="25" t="str">
        <f aca="false">IF(COUNT(B22:F22)=5,AVERAGE(B22:F22),"")</f>
        <v/>
      </c>
      <c r="K22" s="25" t="str">
        <f aca="false">IF(COUNT(G22:I22)=3,AVERAGE(G22:I22),"")</f>
        <v/>
      </c>
    </row>
    <row r="23" customFormat="false" ht="15" hidden="false" customHeight="false" outlineLevel="0" collapsed="false">
      <c r="A23" s="25" t="str">
        <f aca="false">IF(사전!A23="","",사전!A23)</f>
        <v/>
      </c>
      <c r="B23" s="25" t="str">
        <f aca="false">IFERROR(IF(AND($A23&lt;&gt;"",ISNUMBER(사전!B23),ISNUMBER(INDEX(사후!B$2:B$41,MATCH($A23,사후!$A$2:$A$41,0)))),INDEX(사후!B$2:B$41,MATCH($A23,사후!$A$2:$A$41,0))-사전!B23,""),"")</f>
        <v/>
      </c>
      <c r="C23" s="25" t="str">
        <f aca="false">IFERROR(IF(AND($A23&lt;&gt;"",ISNUMBER(사전!C23),ISNUMBER(INDEX(사후!C$2:C$41,MATCH($A23,사후!$A$2:$A$41,0)))),INDEX(사후!C$2:C$41,MATCH($A23,사후!$A$2:$A$41,0))-사전!C23,""),"")</f>
        <v/>
      </c>
      <c r="D23" s="25" t="str">
        <f aca="false">IFERROR(IF(AND($A23&lt;&gt;"",ISNUMBER(사전!D23),ISNUMBER(INDEX(사후!D$2:D$41,MATCH($A23,사후!$A$2:$A$41,0)))),INDEX(사후!D$2:D$41,MATCH($A23,사후!$A$2:$A$41,0))-사전!D23,""),"")</f>
        <v/>
      </c>
      <c r="E23" s="25" t="str">
        <f aca="false">IFERROR(IF(AND($A23&lt;&gt;"",ISNUMBER(사전!E23),ISNUMBER(INDEX(사후!E$2:E$41,MATCH($A23,사후!$A$2:$A$41,0)))),INDEX(사후!E$2:E$41,MATCH($A23,사후!$A$2:$A$41,0))-사전!E23,""),"")</f>
        <v/>
      </c>
      <c r="F23" s="25" t="str">
        <f aca="false">IFERROR(IF(AND($A23&lt;&gt;"",ISNUMBER(사전!F23),ISNUMBER(INDEX(사후!F$2:F$41,MATCH($A23,사후!$A$2:$A$41,0)))),INDEX(사후!F$2:F$41,MATCH($A23,사후!$A$2:$A$41,0))-사전!F23,""),"")</f>
        <v/>
      </c>
      <c r="G23" s="25" t="str">
        <f aca="false">IFERROR(IF(AND($A23&lt;&gt;"",ISNUMBER(사전!G23),ISNUMBER(INDEX(사후!G$2:G$41,MATCH($A23,사후!$A$2:$A$41,0)))),INDEX(사후!G$2:G$41,MATCH($A23,사후!$A$2:$A$41,0))-사전!G23,""),"")</f>
        <v/>
      </c>
      <c r="H23" s="25" t="str">
        <f aca="false">IFERROR(IF(AND($A23&lt;&gt;"",ISNUMBER(사전!H23),ISNUMBER(INDEX(사후!H$2:H$41,MATCH($A23,사후!$A$2:$A$41,0)))),INDEX(사후!H$2:H$41,MATCH($A23,사후!$A$2:$A$41,0))-사전!H23,""),"")</f>
        <v/>
      </c>
      <c r="I23" s="25" t="str">
        <f aca="false">IFERROR(IF(AND($A23&lt;&gt;"",ISNUMBER(사전!I23),ISNUMBER(INDEX(사후!I$2:I$41,MATCH($A23,사후!$A$2:$A$41,0)))),INDEX(사후!I$2:I$41,MATCH($A23,사후!$A$2:$A$41,0))-사전!I23,""),"")</f>
        <v/>
      </c>
      <c r="J23" s="25" t="str">
        <f aca="false">IF(COUNT(B23:F23)=5,AVERAGE(B23:F23),"")</f>
        <v/>
      </c>
      <c r="K23" s="25" t="str">
        <f aca="false">IF(COUNT(G23:I23)=3,AVERAGE(G23:I23),"")</f>
        <v/>
      </c>
    </row>
    <row r="24" customFormat="false" ht="15" hidden="false" customHeight="false" outlineLevel="0" collapsed="false">
      <c r="A24" s="25" t="str">
        <f aca="false">IF(사전!A24="","",사전!A24)</f>
        <v/>
      </c>
      <c r="B24" s="25" t="str">
        <f aca="false">IFERROR(IF(AND($A24&lt;&gt;"",ISNUMBER(사전!B24),ISNUMBER(INDEX(사후!B$2:B$41,MATCH($A24,사후!$A$2:$A$41,0)))),INDEX(사후!B$2:B$41,MATCH($A24,사후!$A$2:$A$41,0))-사전!B24,""),"")</f>
        <v/>
      </c>
      <c r="C24" s="25" t="str">
        <f aca="false">IFERROR(IF(AND($A24&lt;&gt;"",ISNUMBER(사전!C24),ISNUMBER(INDEX(사후!C$2:C$41,MATCH($A24,사후!$A$2:$A$41,0)))),INDEX(사후!C$2:C$41,MATCH($A24,사후!$A$2:$A$41,0))-사전!C24,""),"")</f>
        <v/>
      </c>
      <c r="D24" s="25" t="str">
        <f aca="false">IFERROR(IF(AND($A24&lt;&gt;"",ISNUMBER(사전!D24),ISNUMBER(INDEX(사후!D$2:D$41,MATCH($A24,사후!$A$2:$A$41,0)))),INDEX(사후!D$2:D$41,MATCH($A24,사후!$A$2:$A$41,0))-사전!D24,""),"")</f>
        <v/>
      </c>
      <c r="E24" s="25" t="str">
        <f aca="false">IFERROR(IF(AND($A24&lt;&gt;"",ISNUMBER(사전!E24),ISNUMBER(INDEX(사후!E$2:E$41,MATCH($A24,사후!$A$2:$A$41,0)))),INDEX(사후!E$2:E$41,MATCH($A24,사후!$A$2:$A$41,0))-사전!E24,""),"")</f>
        <v/>
      </c>
      <c r="F24" s="25" t="str">
        <f aca="false">IFERROR(IF(AND($A24&lt;&gt;"",ISNUMBER(사전!F24),ISNUMBER(INDEX(사후!F$2:F$41,MATCH($A24,사후!$A$2:$A$41,0)))),INDEX(사후!F$2:F$41,MATCH($A24,사후!$A$2:$A$41,0))-사전!F24,""),"")</f>
        <v/>
      </c>
      <c r="G24" s="25" t="str">
        <f aca="false">IFERROR(IF(AND($A24&lt;&gt;"",ISNUMBER(사전!G24),ISNUMBER(INDEX(사후!G$2:G$41,MATCH($A24,사후!$A$2:$A$41,0)))),INDEX(사후!G$2:G$41,MATCH($A24,사후!$A$2:$A$41,0))-사전!G24,""),"")</f>
        <v/>
      </c>
      <c r="H24" s="25" t="str">
        <f aca="false">IFERROR(IF(AND($A24&lt;&gt;"",ISNUMBER(사전!H24),ISNUMBER(INDEX(사후!H$2:H$41,MATCH($A24,사후!$A$2:$A$41,0)))),INDEX(사후!H$2:H$41,MATCH($A24,사후!$A$2:$A$41,0))-사전!H24,""),"")</f>
        <v/>
      </c>
      <c r="I24" s="25" t="str">
        <f aca="false">IFERROR(IF(AND($A24&lt;&gt;"",ISNUMBER(사전!I24),ISNUMBER(INDEX(사후!I$2:I$41,MATCH($A24,사후!$A$2:$A$41,0)))),INDEX(사후!I$2:I$41,MATCH($A24,사후!$A$2:$A$41,0))-사전!I24,""),"")</f>
        <v/>
      </c>
      <c r="J24" s="25" t="str">
        <f aca="false">IF(COUNT(B24:F24)=5,AVERAGE(B24:F24),"")</f>
        <v/>
      </c>
      <c r="K24" s="25" t="str">
        <f aca="false">IF(COUNT(G24:I24)=3,AVERAGE(G24:I24),"")</f>
        <v/>
      </c>
    </row>
    <row r="25" customFormat="false" ht="15" hidden="false" customHeight="false" outlineLevel="0" collapsed="false">
      <c r="A25" s="25" t="str">
        <f aca="false">IF(사전!A25="","",사전!A25)</f>
        <v/>
      </c>
      <c r="B25" s="25" t="str">
        <f aca="false">IFERROR(IF(AND($A25&lt;&gt;"",ISNUMBER(사전!B25),ISNUMBER(INDEX(사후!B$2:B$41,MATCH($A25,사후!$A$2:$A$41,0)))),INDEX(사후!B$2:B$41,MATCH($A25,사후!$A$2:$A$41,0))-사전!B25,""),"")</f>
        <v/>
      </c>
      <c r="C25" s="25" t="str">
        <f aca="false">IFERROR(IF(AND($A25&lt;&gt;"",ISNUMBER(사전!C25),ISNUMBER(INDEX(사후!C$2:C$41,MATCH($A25,사후!$A$2:$A$41,0)))),INDEX(사후!C$2:C$41,MATCH($A25,사후!$A$2:$A$41,0))-사전!C25,""),"")</f>
        <v/>
      </c>
      <c r="D25" s="25" t="str">
        <f aca="false">IFERROR(IF(AND($A25&lt;&gt;"",ISNUMBER(사전!D25),ISNUMBER(INDEX(사후!D$2:D$41,MATCH($A25,사후!$A$2:$A$41,0)))),INDEX(사후!D$2:D$41,MATCH($A25,사후!$A$2:$A$41,0))-사전!D25,""),"")</f>
        <v/>
      </c>
      <c r="E25" s="25" t="str">
        <f aca="false">IFERROR(IF(AND($A25&lt;&gt;"",ISNUMBER(사전!E25),ISNUMBER(INDEX(사후!E$2:E$41,MATCH($A25,사후!$A$2:$A$41,0)))),INDEX(사후!E$2:E$41,MATCH($A25,사후!$A$2:$A$41,0))-사전!E25,""),"")</f>
        <v/>
      </c>
      <c r="F25" s="25" t="str">
        <f aca="false">IFERROR(IF(AND($A25&lt;&gt;"",ISNUMBER(사전!F25),ISNUMBER(INDEX(사후!F$2:F$41,MATCH($A25,사후!$A$2:$A$41,0)))),INDEX(사후!F$2:F$41,MATCH($A25,사후!$A$2:$A$41,0))-사전!F25,""),"")</f>
        <v/>
      </c>
      <c r="G25" s="25" t="str">
        <f aca="false">IFERROR(IF(AND($A25&lt;&gt;"",ISNUMBER(사전!G25),ISNUMBER(INDEX(사후!G$2:G$41,MATCH($A25,사후!$A$2:$A$41,0)))),INDEX(사후!G$2:G$41,MATCH($A25,사후!$A$2:$A$41,0))-사전!G25,""),"")</f>
        <v/>
      </c>
      <c r="H25" s="25" t="str">
        <f aca="false">IFERROR(IF(AND($A25&lt;&gt;"",ISNUMBER(사전!H25),ISNUMBER(INDEX(사후!H$2:H$41,MATCH($A25,사후!$A$2:$A$41,0)))),INDEX(사후!H$2:H$41,MATCH($A25,사후!$A$2:$A$41,0))-사전!H25,""),"")</f>
        <v/>
      </c>
      <c r="I25" s="25" t="str">
        <f aca="false">IFERROR(IF(AND($A25&lt;&gt;"",ISNUMBER(사전!I25),ISNUMBER(INDEX(사후!I$2:I$41,MATCH($A25,사후!$A$2:$A$41,0)))),INDEX(사후!I$2:I$41,MATCH($A25,사후!$A$2:$A$41,0))-사전!I25,""),"")</f>
        <v/>
      </c>
      <c r="J25" s="25" t="str">
        <f aca="false">IF(COUNT(B25:F25)=5,AVERAGE(B25:F25),"")</f>
        <v/>
      </c>
      <c r="K25" s="25" t="str">
        <f aca="false">IF(COUNT(G25:I25)=3,AVERAGE(G25:I25),"")</f>
        <v/>
      </c>
    </row>
    <row r="26" customFormat="false" ht="15" hidden="false" customHeight="false" outlineLevel="0" collapsed="false">
      <c r="A26" s="25" t="str">
        <f aca="false">IF(사전!A26="","",사전!A26)</f>
        <v/>
      </c>
      <c r="B26" s="25" t="str">
        <f aca="false">IFERROR(IF(AND($A26&lt;&gt;"",ISNUMBER(사전!B26),ISNUMBER(INDEX(사후!B$2:B$41,MATCH($A26,사후!$A$2:$A$41,0)))),INDEX(사후!B$2:B$41,MATCH($A26,사후!$A$2:$A$41,0))-사전!B26,""),"")</f>
        <v/>
      </c>
      <c r="C26" s="25" t="str">
        <f aca="false">IFERROR(IF(AND($A26&lt;&gt;"",ISNUMBER(사전!C26),ISNUMBER(INDEX(사후!C$2:C$41,MATCH($A26,사후!$A$2:$A$41,0)))),INDEX(사후!C$2:C$41,MATCH($A26,사후!$A$2:$A$41,0))-사전!C26,""),"")</f>
        <v/>
      </c>
      <c r="D26" s="25" t="str">
        <f aca="false">IFERROR(IF(AND($A26&lt;&gt;"",ISNUMBER(사전!D26),ISNUMBER(INDEX(사후!D$2:D$41,MATCH($A26,사후!$A$2:$A$41,0)))),INDEX(사후!D$2:D$41,MATCH($A26,사후!$A$2:$A$41,0))-사전!D26,""),"")</f>
        <v/>
      </c>
      <c r="E26" s="25" t="str">
        <f aca="false">IFERROR(IF(AND($A26&lt;&gt;"",ISNUMBER(사전!E26),ISNUMBER(INDEX(사후!E$2:E$41,MATCH($A26,사후!$A$2:$A$41,0)))),INDEX(사후!E$2:E$41,MATCH($A26,사후!$A$2:$A$41,0))-사전!E26,""),"")</f>
        <v/>
      </c>
      <c r="F26" s="25" t="str">
        <f aca="false">IFERROR(IF(AND($A26&lt;&gt;"",ISNUMBER(사전!F26),ISNUMBER(INDEX(사후!F$2:F$41,MATCH($A26,사후!$A$2:$A$41,0)))),INDEX(사후!F$2:F$41,MATCH($A26,사후!$A$2:$A$41,0))-사전!F26,""),"")</f>
        <v/>
      </c>
      <c r="G26" s="25" t="str">
        <f aca="false">IFERROR(IF(AND($A26&lt;&gt;"",ISNUMBER(사전!G26),ISNUMBER(INDEX(사후!G$2:G$41,MATCH($A26,사후!$A$2:$A$41,0)))),INDEX(사후!G$2:G$41,MATCH($A26,사후!$A$2:$A$41,0))-사전!G26,""),"")</f>
        <v/>
      </c>
      <c r="H26" s="25" t="str">
        <f aca="false">IFERROR(IF(AND($A26&lt;&gt;"",ISNUMBER(사전!H26),ISNUMBER(INDEX(사후!H$2:H$41,MATCH($A26,사후!$A$2:$A$41,0)))),INDEX(사후!H$2:H$41,MATCH($A26,사후!$A$2:$A$41,0))-사전!H26,""),"")</f>
        <v/>
      </c>
      <c r="I26" s="25" t="str">
        <f aca="false">IFERROR(IF(AND($A26&lt;&gt;"",ISNUMBER(사전!I26),ISNUMBER(INDEX(사후!I$2:I$41,MATCH($A26,사후!$A$2:$A$41,0)))),INDEX(사후!I$2:I$41,MATCH($A26,사후!$A$2:$A$41,0))-사전!I26,""),"")</f>
        <v/>
      </c>
      <c r="J26" s="25" t="str">
        <f aca="false">IF(COUNT(B26:F26)=5,AVERAGE(B26:F26),"")</f>
        <v/>
      </c>
      <c r="K26" s="25" t="str">
        <f aca="false">IF(COUNT(G26:I26)=3,AVERAGE(G26:I26),"")</f>
        <v/>
      </c>
    </row>
    <row r="27" customFormat="false" ht="15" hidden="false" customHeight="false" outlineLevel="0" collapsed="false">
      <c r="A27" s="25" t="str">
        <f aca="false">IF(사전!A27="","",사전!A27)</f>
        <v/>
      </c>
      <c r="B27" s="25" t="str">
        <f aca="false">IFERROR(IF(AND($A27&lt;&gt;"",ISNUMBER(사전!B27),ISNUMBER(INDEX(사후!B$2:B$41,MATCH($A27,사후!$A$2:$A$41,0)))),INDEX(사후!B$2:B$41,MATCH($A27,사후!$A$2:$A$41,0))-사전!B27,""),"")</f>
        <v/>
      </c>
      <c r="C27" s="25" t="str">
        <f aca="false">IFERROR(IF(AND($A27&lt;&gt;"",ISNUMBER(사전!C27),ISNUMBER(INDEX(사후!C$2:C$41,MATCH($A27,사후!$A$2:$A$41,0)))),INDEX(사후!C$2:C$41,MATCH($A27,사후!$A$2:$A$41,0))-사전!C27,""),"")</f>
        <v/>
      </c>
      <c r="D27" s="25" t="str">
        <f aca="false">IFERROR(IF(AND($A27&lt;&gt;"",ISNUMBER(사전!D27),ISNUMBER(INDEX(사후!D$2:D$41,MATCH($A27,사후!$A$2:$A$41,0)))),INDEX(사후!D$2:D$41,MATCH($A27,사후!$A$2:$A$41,0))-사전!D27,""),"")</f>
        <v/>
      </c>
      <c r="E27" s="25" t="str">
        <f aca="false">IFERROR(IF(AND($A27&lt;&gt;"",ISNUMBER(사전!E27),ISNUMBER(INDEX(사후!E$2:E$41,MATCH($A27,사후!$A$2:$A$41,0)))),INDEX(사후!E$2:E$41,MATCH($A27,사후!$A$2:$A$41,0))-사전!E27,""),"")</f>
        <v/>
      </c>
      <c r="F27" s="25" t="str">
        <f aca="false">IFERROR(IF(AND($A27&lt;&gt;"",ISNUMBER(사전!F27),ISNUMBER(INDEX(사후!F$2:F$41,MATCH($A27,사후!$A$2:$A$41,0)))),INDEX(사후!F$2:F$41,MATCH($A27,사후!$A$2:$A$41,0))-사전!F27,""),"")</f>
        <v/>
      </c>
      <c r="G27" s="25" t="str">
        <f aca="false">IFERROR(IF(AND($A27&lt;&gt;"",ISNUMBER(사전!G27),ISNUMBER(INDEX(사후!G$2:G$41,MATCH($A27,사후!$A$2:$A$41,0)))),INDEX(사후!G$2:G$41,MATCH($A27,사후!$A$2:$A$41,0))-사전!G27,""),"")</f>
        <v/>
      </c>
      <c r="H27" s="25" t="str">
        <f aca="false">IFERROR(IF(AND($A27&lt;&gt;"",ISNUMBER(사전!H27),ISNUMBER(INDEX(사후!H$2:H$41,MATCH($A27,사후!$A$2:$A$41,0)))),INDEX(사후!H$2:H$41,MATCH($A27,사후!$A$2:$A$41,0))-사전!H27,""),"")</f>
        <v/>
      </c>
      <c r="I27" s="25" t="str">
        <f aca="false">IFERROR(IF(AND($A27&lt;&gt;"",ISNUMBER(사전!I27),ISNUMBER(INDEX(사후!I$2:I$41,MATCH($A27,사후!$A$2:$A$41,0)))),INDEX(사후!I$2:I$41,MATCH($A27,사후!$A$2:$A$41,0))-사전!I27,""),"")</f>
        <v/>
      </c>
      <c r="J27" s="25" t="str">
        <f aca="false">IF(COUNT(B27:F27)=5,AVERAGE(B27:F27),"")</f>
        <v/>
      </c>
      <c r="K27" s="25" t="str">
        <f aca="false">IF(COUNT(G27:I27)=3,AVERAGE(G27:I27),"")</f>
        <v/>
      </c>
    </row>
    <row r="28" customFormat="false" ht="15" hidden="false" customHeight="false" outlineLevel="0" collapsed="false">
      <c r="A28" s="25" t="str">
        <f aca="false">IF(사전!A28="","",사전!A28)</f>
        <v/>
      </c>
      <c r="B28" s="25" t="str">
        <f aca="false">IFERROR(IF(AND($A28&lt;&gt;"",ISNUMBER(사전!B28),ISNUMBER(INDEX(사후!B$2:B$41,MATCH($A28,사후!$A$2:$A$41,0)))),INDEX(사후!B$2:B$41,MATCH($A28,사후!$A$2:$A$41,0))-사전!B28,""),"")</f>
        <v/>
      </c>
      <c r="C28" s="25" t="str">
        <f aca="false">IFERROR(IF(AND($A28&lt;&gt;"",ISNUMBER(사전!C28),ISNUMBER(INDEX(사후!C$2:C$41,MATCH($A28,사후!$A$2:$A$41,0)))),INDEX(사후!C$2:C$41,MATCH($A28,사후!$A$2:$A$41,0))-사전!C28,""),"")</f>
        <v/>
      </c>
      <c r="D28" s="25" t="str">
        <f aca="false">IFERROR(IF(AND($A28&lt;&gt;"",ISNUMBER(사전!D28),ISNUMBER(INDEX(사후!D$2:D$41,MATCH($A28,사후!$A$2:$A$41,0)))),INDEX(사후!D$2:D$41,MATCH($A28,사후!$A$2:$A$41,0))-사전!D28,""),"")</f>
        <v/>
      </c>
      <c r="E28" s="25" t="str">
        <f aca="false">IFERROR(IF(AND($A28&lt;&gt;"",ISNUMBER(사전!E28),ISNUMBER(INDEX(사후!E$2:E$41,MATCH($A28,사후!$A$2:$A$41,0)))),INDEX(사후!E$2:E$41,MATCH($A28,사후!$A$2:$A$41,0))-사전!E28,""),"")</f>
        <v/>
      </c>
      <c r="F28" s="25" t="str">
        <f aca="false">IFERROR(IF(AND($A28&lt;&gt;"",ISNUMBER(사전!F28),ISNUMBER(INDEX(사후!F$2:F$41,MATCH($A28,사후!$A$2:$A$41,0)))),INDEX(사후!F$2:F$41,MATCH($A28,사후!$A$2:$A$41,0))-사전!F28,""),"")</f>
        <v/>
      </c>
      <c r="G28" s="25" t="str">
        <f aca="false">IFERROR(IF(AND($A28&lt;&gt;"",ISNUMBER(사전!G28),ISNUMBER(INDEX(사후!G$2:G$41,MATCH($A28,사후!$A$2:$A$41,0)))),INDEX(사후!G$2:G$41,MATCH($A28,사후!$A$2:$A$41,0))-사전!G28,""),"")</f>
        <v/>
      </c>
      <c r="H28" s="25" t="str">
        <f aca="false">IFERROR(IF(AND($A28&lt;&gt;"",ISNUMBER(사전!H28),ISNUMBER(INDEX(사후!H$2:H$41,MATCH($A28,사후!$A$2:$A$41,0)))),INDEX(사후!H$2:H$41,MATCH($A28,사후!$A$2:$A$41,0))-사전!H28,""),"")</f>
        <v/>
      </c>
      <c r="I28" s="25" t="str">
        <f aca="false">IFERROR(IF(AND($A28&lt;&gt;"",ISNUMBER(사전!I28),ISNUMBER(INDEX(사후!I$2:I$41,MATCH($A28,사후!$A$2:$A$41,0)))),INDEX(사후!I$2:I$41,MATCH($A28,사후!$A$2:$A$41,0))-사전!I28,""),"")</f>
        <v/>
      </c>
      <c r="J28" s="25" t="str">
        <f aca="false">IF(COUNT(B28:F28)=5,AVERAGE(B28:F28),"")</f>
        <v/>
      </c>
      <c r="K28" s="25" t="str">
        <f aca="false">IF(COUNT(G28:I28)=3,AVERAGE(G28:I28),"")</f>
        <v/>
      </c>
    </row>
    <row r="29" customFormat="false" ht="15" hidden="false" customHeight="false" outlineLevel="0" collapsed="false">
      <c r="A29" s="25" t="str">
        <f aca="false">IF(사전!A29="","",사전!A29)</f>
        <v/>
      </c>
      <c r="B29" s="25" t="str">
        <f aca="false">IFERROR(IF(AND($A29&lt;&gt;"",ISNUMBER(사전!B29),ISNUMBER(INDEX(사후!B$2:B$41,MATCH($A29,사후!$A$2:$A$41,0)))),INDEX(사후!B$2:B$41,MATCH($A29,사후!$A$2:$A$41,0))-사전!B29,""),"")</f>
        <v/>
      </c>
      <c r="C29" s="25" t="str">
        <f aca="false">IFERROR(IF(AND($A29&lt;&gt;"",ISNUMBER(사전!C29),ISNUMBER(INDEX(사후!C$2:C$41,MATCH($A29,사후!$A$2:$A$41,0)))),INDEX(사후!C$2:C$41,MATCH($A29,사후!$A$2:$A$41,0))-사전!C29,""),"")</f>
        <v/>
      </c>
      <c r="D29" s="25" t="str">
        <f aca="false">IFERROR(IF(AND($A29&lt;&gt;"",ISNUMBER(사전!D29),ISNUMBER(INDEX(사후!D$2:D$41,MATCH($A29,사후!$A$2:$A$41,0)))),INDEX(사후!D$2:D$41,MATCH($A29,사후!$A$2:$A$41,0))-사전!D29,""),"")</f>
        <v/>
      </c>
      <c r="E29" s="25" t="str">
        <f aca="false">IFERROR(IF(AND($A29&lt;&gt;"",ISNUMBER(사전!E29),ISNUMBER(INDEX(사후!E$2:E$41,MATCH($A29,사후!$A$2:$A$41,0)))),INDEX(사후!E$2:E$41,MATCH($A29,사후!$A$2:$A$41,0))-사전!E29,""),"")</f>
        <v/>
      </c>
      <c r="F29" s="25" t="str">
        <f aca="false">IFERROR(IF(AND($A29&lt;&gt;"",ISNUMBER(사전!F29),ISNUMBER(INDEX(사후!F$2:F$41,MATCH($A29,사후!$A$2:$A$41,0)))),INDEX(사후!F$2:F$41,MATCH($A29,사후!$A$2:$A$41,0))-사전!F29,""),"")</f>
        <v/>
      </c>
      <c r="G29" s="25" t="str">
        <f aca="false">IFERROR(IF(AND($A29&lt;&gt;"",ISNUMBER(사전!G29),ISNUMBER(INDEX(사후!G$2:G$41,MATCH($A29,사후!$A$2:$A$41,0)))),INDEX(사후!G$2:G$41,MATCH($A29,사후!$A$2:$A$41,0))-사전!G29,""),"")</f>
        <v/>
      </c>
      <c r="H29" s="25" t="str">
        <f aca="false">IFERROR(IF(AND($A29&lt;&gt;"",ISNUMBER(사전!H29),ISNUMBER(INDEX(사후!H$2:H$41,MATCH($A29,사후!$A$2:$A$41,0)))),INDEX(사후!H$2:H$41,MATCH($A29,사후!$A$2:$A$41,0))-사전!H29,""),"")</f>
        <v/>
      </c>
      <c r="I29" s="25" t="str">
        <f aca="false">IFERROR(IF(AND($A29&lt;&gt;"",ISNUMBER(사전!I29),ISNUMBER(INDEX(사후!I$2:I$41,MATCH($A29,사후!$A$2:$A$41,0)))),INDEX(사후!I$2:I$41,MATCH($A29,사후!$A$2:$A$41,0))-사전!I29,""),"")</f>
        <v/>
      </c>
      <c r="J29" s="25" t="str">
        <f aca="false">IF(COUNT(B29:F29)=5,AVERAGE(B29:F29),"")</f>
        <v/>
      </c>
      <c r="K29" s="25" t="str">
        <f aca="false">IF(COUNT(G29:I29)=3,AVERAGE(G29:I29),"")</f>
        <v/>
      </c>
    </row>
    <row r="30" customFormat="false" ht="15" hidden="false" customHeight="false" outlineLevel="0" collapsed="false">
      <c r="A30" s="25" t="str">
        <f aca="false">IF(사전!A30="","",사전!A30)</f>
        <v/>
      </c>
      <c r="B30" s="25" t="str">
        <f aca="false">IFERROR(IF(AND($A30&lt;&gt;"",ISNUMBER(사전!B30),ISNUMBER(INDEX(사후!B$2:B$41,MATCH($A30,사후!$A$2:$A$41,0)))),INDEX(사후!B$2:B$41,MATCH($A30,사후!$A$2:$A$41,0))-사전!B30,""),"")</f>
        <v/>
      </c>
      <c r="C30" s="25" t="str">
        <f aca="false">IFERROR(IF(AND($A30&lt;&gt;"",ISNUMBER(사전!C30),ISNUMBER(INDEX(사후!C$2:C$41,MATCH($A30,사후!$A$2:$A$41,0)))),INDEX(사후!C$2:C$41,MATCH($A30,사후!$A$2:$A$41,0))-사전!C30,""),"")</f>
        <v/>
      </c>
      <c r="D30" s="25" t="str">
        <f aca="false">IFERROR(IF(AND($A30&lt;&gt;"",ISNUMBER(사전!D30),ISNUMBER(INDEX(사후!D$2:D$41,MATCH($A30,사후!$A$2:$A$41,0)))),INDEX(사후!D$2:D$41,MATCH($A30,사후!$A$2:$A$41,0))-사전!D30,""),"")</f>
        <v/>
      </c>
      <c r="E30" s="25" t="str">
        <f aca="false">IFERROR(IF(AND($A30&lt;&gt;"",ISNUMBER(사전!E30),ISNUMBER(INDEX(사후!E$2:E$41,MATCH($A30,사후!$A$2:$A$41,0)))),INDEX(사후!E$2:E$41,MATCH($A30,사후!$A$2:$A$41,0))-사전!E30,""),"")</f>
        <v/>
      </c>
      <c r="F30" s="25" t="str">
        <f aca="false">IFERROR(IF(AND($A30&lt;&gt;"",ISNUMBER(사전!F30),ISNUMBER(INDEX(사후!F$2:F$41,MATCH($A30,사후!$A$2:$A$41,0)))),INDEX(사후!F$2:F$41,MATCH($A30,사후!$A$2:$A$41,0))-사전!F30,""),"")</f>
        <v/>
      </c>
      <c r="G30" s="25" t="str">
        <f aca="false">IFERROR(IF(AND($A30&lt;&gt;"",ISNUMBER(사전!G30),ISNUMBER(INDEX(사후!G$2:G$41,MATCH($A30,사후!$A$2:$A$41,0)))),INDEX(사후!G$2:G$41,MATCH($A30,사후!$A$2:$A$41,0))-사전!G30,""),"")</f>
        <v/>
      </c>
      <c r="H30" s="25" t="str">
        <f aca="false">IFERROR(IF(AND($A30&lt;&gt;"",ISNUMBER(사전!H30),ISNUMBER(INDEX(사후!H$2:H$41,MATCH($A30,사후!$A$2:$A$41,0)))),INDEX(사후!H$2:H$41,MATCH($A30,사후!$A$2:$A$41,0))-사전!H30,""),"")</f>
        <v/>
      </c>
      <c r="I30" s="25" t="str">
        <f aca="false">IFERROR(IF(AND($A30&lt;&gt;"",ISNUMBER(사전!I30),ISNUMBER(INDEX(사후!I$2:I$41,MATCH($A30,사후!$A$2:$A$41,0)))),INDEX(사후!I$2:I$41,MATCH($A30,사후!$A$2:$A$41,0))-사전!I30,""),"")</f>
        <v/>
      </c>
      <c r="J30" s="25" t="str">
        <f aca="false">IF(COUNT(B30:F30)=5,AVERAGE(B30:F30),"")</f>
        <v/>
      </c>
      <c r="K30" s="25" t="str">
        <f aca="false">IF(COUNT(G30:I30)=3,AVERAGE(G30:I30),"")</f>
        <v/>
      </c>
    </row>
    <row r="31" customFormat="false" ht="15" hidden="false" customHeight="false" outlineLevel="0" collapsed="false">
      <c r="A31" s="25" t="str">
        <f aca="false">IF(사전!A31="","",사전!A31)</f>
        <v/>
      </c>
      <c r="B31" s="25" t="str">
        <f aca="false">IFERROR(IF(AND($A31&lt;&gt;"",ISNUMBER(사전!B31),ISNUMBER(INDEX(사후!B$2:B$41,MATCH($A31,사후!$A$2:$A$41,0)))),INDEX(사후!B$2:B$41,MATCH($A31,사후!$A$2:$A$41,0))-사전!B31,""),"")</f>
        <v/>
      </c>
      <c r="C31" s="25" t="str">
        <f aca="false">IFERROR(IF(AND($A31&lt;&gt;"",ISNUMBER(사전!C31),ISNUMBER(INDEX(사후!C$2:C$41,MATCH($A31,사후!$A$2:$A$41,0)))),INDEX(사후!C$2:C$41,MATCH($A31,사후!$A$2:$A$41,0))-사전!C31,""),"")</f>
        <v/>
      </c>
      <c r="D31" s="25" t="str">
        <f aca="false">IFERROR(IF(AND($A31&lt;&gt;"",ISNUMBER(사전!D31),ISNUMBER(INDEX(사후!D$2:D$41,MATCH($A31,사후!$A$2:$A$41,0)))),INDEX(사후!D$2:D$41,MATCH($A31,사후!$A$2:$A$41,0))-사전!D31,""),"")</f>
        <v/>
      </c>
      <c r="E31" s="25" t="str">
        <f aca="false">IFERROR(IF(AND($A31&lt;&gt;"",ISNUMBER(사전!E31),ISNUMBER(INDEX(사후!E$2:E$41,MATCH($A31,사후!$A$2:$A$41,0)))),INDEX(사후!E$2:E$41,MATCH($A31,사후!$A$2:$A$41,0))-사전!E31,""),"")</f>
        <v/>
      </c>
      <c r="F31" s="25" t="str">
        <f aca="false">IFERROR(IF(AND($A31&lt;&gt;"",ISNUMBER(사전!F31),ISNUMBER(INDEX(사후!F$2:F$41,MATCH($A31,사후!$A$2:$A$41,0)))),INDEX(사후!F$2:F$41,MATCH($A31,사후!$A$2:$A$41,0))-사전!F31,""),"")</f>
        <v/>
      </c>
      <c r="G31" s="25" t="str">
        <f aca="false">IFERROR(IF(AND($A31&lt;&gt;"",ISNUMBER(사전!G31),ISNUMBER(INDEX(사후!G$2:G$41,MATCH($A31,사후!$A$2:$A$41,0)))),INDEX(사후!G$2:G$41,MATCH($A31,사후!$A$2:$A$41,0))-사전!G31,""),"")</f>
        <v/>
      </c>
      <c r="H31" s="25" t="str">
        <f aca="false">IFERROR(IF(AND($A31&lt;&gt;"",ISNUMBER(사전!H31),ISNUMBER(INDEX(사후!H$2:H$41,MATCH($A31,사후!$A$2:$A$41,0)))),INDEX(사후!H$2:H$41,MATCH($A31,사후!$A$2:$A$41,0))-사전!H31,""),"")</f>
        <v/>
      </c>
      <c r="I31" s="25" t="str">
        <f aca="false">IFERROR(IF(AND($A31&lt;&gt;"",ISNUMBER(사전!I31),ISNUMBER(INDEX(사후!I$2:I$41,MATCH($A31,사후!$A$2:$A$41,0)))),INDEX(사후!I$2:I$41,MATCH($A31,사후!$A$2:$A$41,0))-사전!I31,""),"")</f>
        <v/>
      </c>
      <c r="J31" s="25" t="str">
        <f aca="false">IF(COUNT(B31:F31)=5,AVERAGE(B31:F31),"")</f>
        <v/>
      </c>
      <c r="K31" s="25" t="str">
        <f aca="false">IF(COUNT(G31:I31)=3,AVERAGE(G31:I31),"")</f>
        <v/>
      </c>
    </row>
    <row r="32" customFormat="false" ht="15" hidden="false" customHeight="false" outlineLevel="0" collapsed="false">
      <c r="A32" s="25" t="str">
        <f aca="false">IF(사전!A32="","",사전!A32)</f>
        <v/>
      </c>
      <c r="B32" s="25" t="str">
        <f aca="false">IFERROR(IF(AND($A32&lt;&gt;"",ISNUMBER(사전!B32),ISNUMBER(INDEX(사후!B$2:B$41,MATCH($A32,사후!$A$2:$A$41,0)))),INDEX(사후!B$2:B$41,MATCH($A32,사후!$A$2:$A$41,0))-사전!B32,""),"")</f>
        <v/>
      </c>
      <c r="C32" s="25" t="str">
        <f aca="false">IFERROR(IF(AND($A32&lt;&gt;"",ISNUMBER(사전!C32),ISNUMBER(INDEX(사후!C$2:C$41,MATCH($A32,사후!$A$2:$A$41,0)))),INDEX(사후!C$2:C$41,MATCH($A32,사후!$A$2:$A$41,0))-사전!C32,""),"")</f>
        <v/>
      </c>
      <c r="D32" s="25" t="str">
        <f aca="false">IFERROR(IF(AND($A32&lt;&gt;"",ISNUMBER(사전!D32),ISNUMBER(INDEX(사후!D$2:D$41,MATCH($A32,사후!$A$2:$A$41,0)))),INDEX(사후!D$2:D$41,MATCH($A32,사후!$A$2:$A$41,0))-사전!D32,""),"")</f>
        <v/>
      </c>
      <c r="E32" s="25" t="str">
        <f aca="false">IFERROR(IF(AND($A32&lt;&gt;"",ISNUMBER(사전!E32),ISNUMBER(INDEX(사후!E$2:E$41,MATCH($A32,사후!$A$2:$A$41,0)))),INDEX(사후!E$2:E$41,MATCH($A32,사후!$A$2:$A$41,0))-사전!E32,""),"")</f>
        <v/>
      </c>
      <c r="F32" s="25" t="str">
        <f aca="false">IFERROR(IF(AND($A32&lt;&gt;"",ISNUMBER(사전!F32),ISNUMBER(INDEX(사후!F$2:F$41,MATCH($A32,사후!$A$2:$A$41,0)))),INDEX(사후!F$2:F$41,MATCH($A32,사후!$A$2:$A$41,0))-사전!F32,""),"")</f>
        <v/>
      </c>
      <c r="G32" s="25" t="str">
        <f aca="false">IFERROR(IF(AND($A32&lt;&gt;"",ISNUMBER(사전!G32),ISNUMBER(INDEX(사후!G$2:G$41,MATCH($A32,사후!$A$2:$A$41,0)))),INDEX(사후!G$2:G$41,MATCH($A32,사후!$A$2:$A$41,0))-사전!G32,""),"")</f>
        <v/>
      </c>
      <c r="H32" s="25" t="str">
        <f aca="false">IFERROR(IF(AND($A32&lt;&gt;"",ISNUMBER(사전!H32),ISNUMBER(INDEX(사후!H$2:H$41,MATCH($A32,사후!$A$2:$A$41,0)))),INDEX(사후!H$2:H$41,MATCH($A32,사후!$A$2:$A$41,0))-사전!H32,""),"")</f>
        <v/>
      </c>
      <c r="I32" s="25" t="str">
        <f aca="false">IFERROR(IF(AND($A32&lt;&gt;"",ISNUMBER(사전!I32),ISNUMBER(INDEX(사후!I$2:I$41,MATCH($A32,사후!$A$2:$A$41,0)))),INDEX(사후!I$2:I$41,MATCH($A32,사후!$A$2:$A$41,0))-사전!I32,""),"")</f>
        <v/>
      </c>
      <c r="J32" s="25" t="str">
        <f aca="false">IF(COUNT(B32:F32)=5,AVERAGE(B32:F32),"")</f>
        <v/>
      </c>
      <c r="K32" s="25" t="str">
        <f aca="false">IF(COUNT(G32:I32)=3,AVERAGE(G32:I32),"")</f>
        <v/>
      </c>
    </row>
    <row r="33" customFormat="false" ht="15" hidden="false" customHeight="false" outlineLevel="0" collapsed="false">
      <c r="A33" s="25" t="str">
        <f aca="false">IF(사전!A33="","",사전!A33)</f>
        <v/>
      </c>
      <c r="B33" s="25" t="str">
        <f aca="false">IFERROR(IF(AND($A33&lt;&gt;"",ISNUMBER(사전!B33),ISNUMBER(INDEX(사후!B$2:B$41,MATCH($A33,사후!$A$2:$A$41,0)))),INDEX(사후!B$2:B$41,MATCH($A33,사후!$A$2:$A$41,0))-사전!B33,""),"")</f>
        <v/>
      </c>
      <c r="C33" s="25" t="str">
        <f aca="false">IFERROR(IF(AND($A33&lt;&gt;"",ISNUMBER(사전!C33),ISNUMBER(INDEX(사후!C$2:C$41,MATCH($A33,사후!$A$2:$A$41,0)))),INDEX(사후!C$2:C$41,MATCH($A33,사후!$A$2:$A$41,0))-사전!C33,""),"")</f>
        <v/>
      </c>
      <c r="D33" s="25" t="str">
        <f aca="false">IFERROR(IF(AND($A33&lt;&gt;"",ISNUMBER(사전!D33),ISNUMBER(INDEX(사후!D$2:D$41,MATCH($A33,사후!$A$2:$A$41,0)))),INDEX(사후!D$2:D$41,MATCH($A33,사후!$A$2:$A$41,0))-사전!D33,""),"")</f>
        <v/>
      </c>
      <c r="E33" s="25" t="str">
        <f aca="false">IFERROR(IF(AND($A33&lt;&gt;"",ISNUMBER(사전!E33),ISNUMBER(INDEX(사후!E$2:E$41,MATCH($A33,사후!$A$2:$A$41,0)))),INDEX(사후!E$2:E$41,MATCH($A33,사후!$A$2:$A$41,0))-사전!E33,""),"")</f>
        <v/>
      </c>
      <c r="F33" s="25" t="str">
        <f aca="false">IFERROR(IF(AND($A33&lt;&gt;"",ISNUMBER(사전!F33),ISNUMBER(INDEX(사후!F$2:F$41,MATCH($A33,사후!$A$2:$A$41,0)))),INDEX(사후!F$2:F$41,MATCH($A33,사후!$A$2:$A$41,0))-사전!F33,""),"")</f>
        <v/>
      </c>
      <c r="G33" s="25" t="str">
        <f aca="false">IFERROR(IF(AND($A33&lt;&gt;"",ISNUMBER(사전!G33),ISNUMBER(INDEX(사후!G$2:G$41,MATCH($A33,사후!$A$2:$A$41,0)))),INDEX(사후!G$2:G$41,MATCH($A33,사후!$A$2:$A$41,0))-사전!G33,""),"")</f>
        <v/>
      </c>
      <c r="H33" s="25" t="str">
        <f aca="false">IFERROR(IF(AND($A33&lt;&gt;"",ISNUMBER(사전!H33),ISNUMBER(INDEX(사후!H$2:H$41,MATCH($A33,사후!$A$2:$A$41,0)))),INDEX(사후!H$2:H$41,MATCH($A33,사후!$A$2:$A$41,0))-사전!H33,""),"")</f>
        <v/>
      </c>
      <c r="I33" s="25" t="str">
        <f aca="false">IFERROR(IF(AND($A33&lt;&gt;"",ISNUMBER(사전!I33),ISNUMBER(INDEX(사후!I$2:I$41,MATCH($A33,사후!$A$2:$A$41,0)))),INDEX(사후!I$2:I$41,MATCH($A33,사후!$A$2:$A$41,0))-사전!I33,""),"")</f>
        <v/>
      </c>
      <c r="J33" s="25" t="str">
        <f aca="false">IF(COUNT(B33:F33)=5,AVERAGE(B33:F33),"")</f>
        <v/>
      </c>
      <c r="K33" s="25" t="str">
        <f aca="false">IF(COUNT(G33:I33)=3,AVERAGE(G33:I33),"")</f>
        <v/>
      </c>
    </row>
    <row r="34" customFormat="false" ht="15" hidden="false" customHeight="false" outlineLevel="0" collapsed="false">
      <c r="A34" s="25" t="str">
        <f aca="false">IF(사전!A34="","",사전!A34)</f>
        <v/>
      </c>
      <c r="B34" s="25" t="str">
        <f aca="false">IFERROR(IF(AND($A34&lt;&gt;"",ISNUMBER(사전!B34),ISNUMBER(INDEX(사후!B$2:B$41,MATCH($A34,사후!$A$2:$A$41,0)))),INDEX(사후!B$2:B$41,MATCH($A34,사후!$A$2:$A$41,0))-사전!B34,""),"")</f>
        <v/>
      </c>
      <c r="C34" s="25" t="str">
        <f aca="false">IFERROR(IF(AND($A34&lt;&gt;"",ISNUMBER(사전!C34),ISNUMBER(INDEX(사후!C$2:C$41,MATCH($A34,사후!$A$2:$A$41,0)))),INDEX(사후!C$2:C$41,MATCH($A34,사후!$A$2:$A$41,0))-사전!C34,""),"")</f>
        <v/>
      </c>
      <c r="D34" s="25" t="str">
        <f aca="false">IFERROR(IF(AND($A34&lt;&gt;"",ISNUMBER(사전!D34),ISNUMBER(INDEX(사후!D$2:D$41,MATCH($A34,사후!$A$2:$A$41,0)))),INDEX(사후!D$2:D$41,MATCH($A34,사후!$A$2:$A$41,0))-사전!D34,""),"")</f>
        <v/>
      </c>
      <c r="E34" s="25" t="str">
        <f aca="false">IFERROR(IF(AND($A34&lt;&gt;"",ISNUMBER(사전!E34),ISNUMBER(INDEX(사후!E$2:E$41,MATCH($A34,사후!$A$2:$A$41,0)))),INDEX(사후!E$2:E$41,MATCH($A34,사후!$A$2:$A$41,0))-사전!E34,""),"")</f>
        <v/>
      </c>
      <c r="F34" s="25" t="str">
        <f aca="false">IFERROR(IF(AND($A34&lt;&gt;"",ISNUMBER(사전!F34),ISNUMBER(INDEX(사후!F$2:F$41,MATCH($A34,사후!$A$2:$A$41,0)))),INDEX(사후!F$2:F$41,MATCH($A34,사후!$A$2:$A$41,0))-사전!F34,""),"")</f>
        <v/>
      </c>
      <c r="G34" s="25" t="str">
        <f aca="false">IFERROR(IF(AND($A34&lt;&gt;"",ISNUMBER(사전!G34),ISNUMBER(INDEX(사후!G$2:G$41,MATCH($A34,사후!$A$2:$A$41,0)))),INDEX(사후!G$2:G$41,MATCH($A34,사후!$A$2:$A$41,0))-사전!G34,""),"")</f>
        <v/>
      </c>
      <c r="H34" s="25" t="str">
        <f aca="false">IFERROR(IF(AND($A34&lt;&gt;"",ISNUMBER(사전!H34),ISNUMBER(INDEX(사후!H$2:H$41,MATCH($A34,사후!$A$2:$A$41,0)))),INDEX(사후!H$2:H$41,MATCH($A34,사후!$A$2:$A$41,0))-사전!H34,""),"")</f>
        <v/>
      </c>
      <c r="I34" s="25" t="str">
        <f aca="false">IFERROR(IF(AND($A34&lt;&gt;"",ISNUMBER(사전!I34),ISNUMBER(INDEX(사후!I$2:I$41,MATCH($A34,사후!$A$2:$A$41,0)))),INDEX(사후!I$2:I$41,MATCH($A34,사후!$A$2:$A$41,0))-사전!I34,""),"")</f>
        <v/>
      </c>
      <c r="J34" s="25" t="str">
        <f aca="false">IF(COUNT(B34:F34)=5,AVERAGE(B34:F34),"")</f>
        <v/>
      </c>
      <c r="K34" s="25" t="str">
        <f aca="false">IF(COUNT(G34:I34)=3,AVERAGE(G34:I34),"")</f>
        <v/>
      </c>
    </row>
    <row r="35" customFormat="false" ht="15" hidden="false" customHeight="false" outlineLevel="0" collapsed="false">
      <c r="A35" s="25" t="str">
        <f aca="false">IF(사전!A35="","",사전!A35)</f>
        <v/>
      </c>
      <c r="B35" s="25" t="str">
        <f aca="false">IFERROR(IF(AND($A35&lt;&gt;"",ISNUMBER(사전!B35),ISNUMBER(INDEX(사후!B$2:B$41,MATCH($A35,사후!$A$2:$A$41,0)))),INDEX(사후!B$2:B$41,MATCH($A35,사후!$A$2:$A$41,0))-사전!B35,""),"")</f>
        <v/>
      </c>
      <c r="C35" s="25" t="str">
        <f aca="false">IFERROR(IF(AND($A35&lt;&gt;"",ISNUMBER(사전!C35),ISNUMBER(INDEX(사후!C$2:C$41,MATCH($A35,사후!$A$2:$A$41,0)))),INDEX(사후!C$2:C$41,MATCH($A35,사후!$A$2:$A$41,0))-사전!C35,""),"")</f>
        <v/>
      </c>
      <c r="D35" s="25" t="str">
        <f aca="false">IFERROR(IF(AND($A35&lt;&gt;"",ISNUMBER(사전!D35),ISNUMBER(INDEX(사후!D$2:D$41,MATCH($A35,사후!$A$2:$A$41,0)))),INDEX(사후!D$2:D$41,MATCH($A35,사후!$A$2:$A$41,0))-사전!D35,""),"")</f>
        <v/>
      </c>
      <c r="E35" s="25" t="str">
        <f aca="false">IFERROR(IF(AND($A35&lt;&gt;"",ISNUMBER(사전!E35),ISNUMBER(INDEX(사후!E$2:E$41,MATCH($A35,사후!$A$2:$A$41,0)))),INDEX(사후!E$2:E$41,MATCH($A35,사후!$A$2:$A$41,0))-사전!E35,""),"")</f>
        <v/>
      </c>
      <c r="F35" s="25" t="str">
        <f aca="false">IFERROR(IF(AND($A35&lt;&gt;"",ISNUMBER(사전!F35),ISNUMBER(INDEX(사후!F$2:F$41,MATCH($A35,사후!$A$2:$A$41,0)))),INDEX(사후!F$2:F$41,MATCH($A35,사후!$A$2:$A$41,0))-사전!F35,""),"")</f>
        <v/>
      </c>
      <c r="G35" s="25" t="str">
        <f aca="false">IFERROR(IF(AND($A35&lt;&gt;"",ISNUMBER(사전!G35),ISNUMBER(INDEX(사후!G$2:G$41,MATCH($A35,사후!$A$2:$A$41,0)))),INDEX(사후!G$2:G$41,MATCH($A35,사후!$A$2:$A$41,0))-사전!G35,""),"")</f>
        <v/>
      </c>
      <c r="H35" s="25" t="str">
        <f aca="false">IFERROR(IF(AND($A35&lt;&gt;"",ISNUMBER(사전!H35),ISNUMBER(INDEX(사후!H$2:H$41,MATCH($A35,사후!$A$2:$A$41,0)))),INDEX(사후!H$2:H$41,MATCH($A35,사후!$A$2:$A$41,0))-사전!H35,""),"")</f>
        <v/>
      </c>
      <c r="I35" s="25" t="str">
        <f aca="false">IFERROR(IF(AND($A35&lt;&gt;"",ISNUMBER(사전!I35),ISNUMBER(INDEX(사후!I$2:I$41,MATCH($A35,사후!$A$2:$A$41,0)))),INDEX(사후!I$2:I$41,MATCH($A35,사후!$A$2:$A$41,0))-사전!I35,""),"")</f>
        <v/>
      </c>
      <c r="J35" s="25" t="str">
        <f aca="false">IF(COUNT(B35:F35)=5,AVERAGE(B35:F35),"")</f>
        <v/>
      </c>
      <c r="K35" s="25" t="str">
        <f aca="false">IF(COUNT(G35:I35)=3,AVERAGE(G35:I35),"")</f>
        <v/>
      </c>
    </row>
    <row r="36" customFormat="false" ht="15" hidden="false" customHeight="false" outlineLevel="0" collapsed="false">
      <c r="A36" s="25" t="str">
        <f aca="false">IF(사전!A36="","",사전!A36)</f>
        <v/>
      </c>
      <c r="B36" s="25" t="str">
        <f aca="false">IFERROR(IF(AND($A36&lt;&gt;"",ISNUMBER(사전!B36),ISNUMBER(INDEX(사후!B$2:B$41,MATCH($A36,사후!$A$2:$A$41,0)))),INDEX(사후!B$2:B$41,MATCH($A36,사후!$A$2:$A$41,0))-사전!B36,""),"")</f>
        <v/>
      </c>
      <c r="C36" s="25" t="str">
        <f aca="false">IFERROR(IF(AND($A36&lt;&gt;"",ISNUMBER(사전!C36),ISNUMBER(INDEX(사후!C$2:C$41,MATCH($A36,사후!$A$2:$A$41,0)))),INDEX(사후!C$2:C$41,MATCH($A36,사후!$A$2:$A$41,0))-사전!C36,""),"")</f>
        <v/>
      </c>
      <c r="D36" s="25" t="str">
        <f aca="false">IFERROR(IF(AND($A36&lt;&gt;"",ISNUMBER(사전!D36),ISNUMBER(INDEX(사후!D$2:D$41,MATCH($A36,사후!$A$2:$A$41,0)))),INDEX(사후!D$2:D$41,MATCH($A36,사후!$A$2:$A$41,0))-사전!D36,""),"")</f>
        <v/>
      </c>
      <c r="E36" s="25" t="str">
        <f aca="false">IFERROR(IF(AND($A36&lt;&gt;"",ISNUMBER(사전!E36),ISNUMBER(INDEX(사후!E$2:E$41,MATCH($A36,사후!$A$2:$A$41,0)))),INDEX(사후!E$2:E$41,MATCH($A36,사후!$A$2:$A$41,0))-사전!E36,""),"")</f>
        <v/>
      </c>
      <c r="F36" s="25" t="str">
        <f aca="false">IFERROR(IF(AND($A36&lt;&gt;"",ISNUMBER(사전!F36),ISNUMBER(INDEX(사후!F$2:F$41,MATCH($A36,사후!$A$2:$A$41,0)))),INDEX(사후!F$2:F$41,MATCH($A36,사후!$A$2:$A$41,0))-사전!F36,""),"")</f>
        <v/>
      </c>
      <c r="G36" s="25" t="str">
        <f aca="false">IFERROR(IF(AND($A36&lt;&gt;"",ISNUMBER(사전!G36),ISNUMBER(INDEX(사후!G$2:G$41,MATCH($A36,사후!$A$2:$A$41,0)))),INDEX(사후!G$2:G$41,MATCH($A36,사후!$A$2:$A$41,0))-사전!G36,""),"")</f>
        <v/>
      </c>
      <c r="H36" s="25" t="str">
        <f aca="false">IFERROR(IF(AND($A36&lt;&gt;"",ISNUMBER(사전!H36),ISNUMBER(INDEX(사후!H$2:H$41,MATCH($A36,사후!$A$2:$A$41,0)))),INDEX(사후!H$2:H$41,MATCH($A36,사후!$A$2:$A$41,0))-사전!H36,""),"")</f>
        <v/>
      </c>
      <c r="I36" s="25" t="str">
        <f aca="false">IFERROR(IF(AND($A36&lt;&gt;"",ISNUMBER(사전!I36),ISNUMBER(INDEX(사후!I$2:I$41,MATCH($A36,사후!$A$2:$A$41,0)))),INDEX(사후!I$2:I$41,MATCH($A36,사후!$A$2:$A$41,0))-사전!I36,""),"")</f>
        <v/>
      </c>
      <c r="J36" s="25" t="str">
        <f aca="false">IF(COUNT(B36:F36)=5,AVERAGE(B36:F36),"")</f>
        <v/>
      </c>
      <c r="K36" s="25" t="str">
        <f aca="false">IF(COUNT(G36:I36)=3,AVERAGE(G36:I36),"")</f>
        <v/>
      </c>
    </row>
    <row r="37" customFormat="false" ht="15" hidden="false" customHeight="false" outlineLevel="0" collapsed="false">
      <c r="A37" s="25" t="str">
        <f aca="false">IF(사전!A37="","",사전!A37)</f>
        <v/>
      </c>
      <c r="B37" s="25" t="str">
        <f aca="false">IFERROR(IF(AND($A37&lt;&gt;"",ISNUMBER(사전!B37),ISNUMBER(INDEX(사후!B$2:B$41,MATCH($A37,사후!$A$2:$A$41,0)))),INDEX(사후!B$2:B$41,MATCH($A37,사후!$A$2:$A$41,0))-사전!B37,""),"")</f>
        <v/>
      </c>
      <c r="C37" s="25" t="str">
        <f aca="false">IFERROR(IF(AND($A37&lt;&gt;"",ISNUMBER(사전!C37),ISNUMBER(INDEX(사후!C$2:C$41,MATCH($A37,사후!$A$2:$A$41,0)))),INDEX(사후!C$2:C$41,MATCH($A37,사후!$A$2:$A$41,0))-사전!C37,""),"")</f>
        <v/>
      </c>
      <c r="D37" s="25" t="str">
        <f aca="false">IFERROR(IF(AND($A37&lt;&gt;"",ISNUMBER(사전!D37),ISNUMBER(INDEX(사후!D$2:D$41,MATCH($A37,사후!$A$2:$A$41,0)))),INDEX(사후!D$2:D$41,MATCH($A37,사후!$A$2:$A$41,0))-사전!D37,""),"")</f>
        <v/>
      </c>
      <c r="E37" s="25" t="str">
        <f aca="false">IFERROR(IF(AND($A37&lt;&gt;"",ISNUMBER(사전!E37),ISNUMBER(INDEX(사후!E$2:E$41,MATCH($A37,사후!$A$2:$A$41,0)))),INDEX(사후!E$2:E$41,MATCH($A37,사후!$A$2:$A$41,0))-사전!E37,""),"")</f>
        <v/>
      </c>
      <c r="F37" s="25" t="str">
        <f aca="false">IFERROR(IF(AND($A37&lt;&gt;"",ISNUMBER(사전!F37),ISNUMBER(INDEX(사후!F$2:F$41,MATCH($A37,사후!$A$2:$A$41,0)))),INDEX(사후!F$2:F$41,MATCH($A37,사후!$A$2:$A$41,0))-사전!F37,""),"")</f>
        <v/>
      </c>
      <c r="G37" s="25" t="str">
        <f aca="false">IFERROR(IF(AND($A37&lt;&gt;"",ISNUMBER(사전!G37),ISNUMBER(INDEX(사후!G$2:G$41,MATCH($A37,사후!$A$2:$A$41,0)))),INDEX(사후!G$2:G$41,MATCH($A37,사후!$A$2:$A$41,0))-사전!G37,""),"")</f>
        <v/>
      </c>
      <c r="H37" s="25" t="str">
        <f aca="false">IFERROR(IF(AND($A37&lt;&gt;"",ISNUMBER(사전!H37),ISNUMBER(INDEX(사후!H$2:H$41,MATCH($A37,사후!$A$2:$A$41,0)))),INDEX(사후!H$2:H$41,MATCH($A37,사후!$A$2:$A$41,0))-사전!H37,""),"")</f>
        <v/>
      </c>
      <c r="I37" s="25" t="str">
        <f aca="false">IFERROR(IF(AND($A37&lt;&gt;"",ISNUMBER(사전!I37),ISNUMBER(INDEX(사후!I$2:I$41,MATCH($A37,사후!$A$2:$A$41,0)))),INDEX(사후!I$2:I$41,MATCH($A37,사후!$A$2:$A$41,0))-사전!I37,""),"")</f>
        <v/>
      </c>
      <c r="J37" s="25" t="str">
        <f aca="false">IF(COUNT(B37:F37)=5,AVERAGE(B37:F37),"")</f>
        <v/>
      </c>
      <c r="K37" s="25" t="str">
        <f aca="false">IF(COUNT(G37:I37)=3,AVERAGE(G37:I37),"")</f>
        <v/>
      </c>
    </row>
    <row r="38" customFormat="false" ht="15" hidden="false" customHeight="false" outlineLevel="0" collapsed="false">
      <c r="A38" s="25" t="str">
        <f aca="false">IF(사전!A38="","",사전!A38)</f>
        <v/>
      </c>
      <c r="B38" s="25" t="str">
        <f aca="false">IFERROR(IF(AND($A38&lt;&gt;"",ISNUMBER(사전!B38),ISNUMBER(INDEX(사후!B$2:B$41,MATCH($A38,사후!$A$2:$A$41,0)))),INDEX(사후!B$2:B$41,MATCH($A38,사후!$A$2:$A$41,0))-사전!B38,""),"")</f>
        <v/>
      </c>
      <c r="C38" s="25" t="str">
        <f aca="false">IFERROR(IF(AND($A38&lt;&gt;"",ISNUMBER(사전!C38),ISNUMBER(INDEX(사후!C$2:C$41,MATCH($A38,사후!$A$2:$A$41,0)))),INDEX(사후!C$2:C$41,MATCH($A38,사후!$A$2:$A$41,0))-사전!C38,""),"")</f>
        <v/>
      </c>
      <c r="D38" s="25" t="str">
        <f aca="false">IFERROR(IF(AND($A38&lt;&gt;"",ISNUMBER(사전!D38),ISNUMBER(INDEX(사후!D$2:D$41,MATCH($A38,사후!$A$2:$A$41,0)))),INDEX(사후!D$2:D$41,MATCH($A38,사후!$A$2:$A$41,0))-사전!D38,""),"")</f>
        <v/>
      </c>
      <c r="E38" s="25" t="str">
        <f aca="false">IFERROR(IF(AND($A38&lt;&gt;"",ISNUMBER(사전!E38),ISNUMBER(INDEX(사후!E$2:E$41,MATCH($A38,사후!$A$2:$A$41,0)))),INDEX(사후!E$2:E$41,MATCH($A38,사후!$A$2:$A$41,0))-사전!E38,""),"")</f>
        <v/>
      </c>
      <c r="F38" s="25" t="str">
        <f aca="false">IFERROR(IF(AND($A38&lt;&gt;"",ISNUMBER(사전!F38),ISNUMBER(INDEX(사후!F$2:F$41,MATCH($A38,사후!$A$2:$A$41,0)))),INDEX(사후!F$2:F$41,MATCH($A38,사후!$A$2:$A$41,0))-사전!F38,""),"")</f>
        <v/>
      </c>
      <c r="G38" s="25" t="str">
        <f aca="false">IFERROR(IF(AND($A38&lt;&gt;"",ISNUMBER(사전!G38),ISNUMBER(INDEX(사후!G$2:G$41,MATCH($A38,사후!$A$2:$A$41,0)))),INDEX(사후!G$2:G$41,MATCH($A38,사후!$A$2:$A$41,0))-사전!G38,""),"")</f>
        <v/>
      </c>
      <c r="H38" s="25" t="str">
        <f aca="false">IFERROR(IF(AND($A38&lt;&gt;"",ISNUMBER(사전!H38),ISNUMBER(INDEX(사후!H$2:H$41,MATCH($A38,사후!$A$2:$A$41,0)))),INDEX(사후!H$2:H$41,MATCH($A38,사후!$A$2:$A$41,0))-사전!H38,""),"")</f>
        <v/>
      </c>
      <c r="I38" s="25" t="str">
        <f aca="false">IFERROR(IF(AND($A38&lt;&gt;"",ISNUMBER(사전!I38),ISNUMBER(INDEX(사후!I$2:I$41,MATCH($A38,사후!$A$2:$A$41,0)))),INDEX(사후!I$2:I$41,MATCH($A38,사후!$A$2:$A$41,0))-사전!I38,""),"")</f>
        <v/>
      </c>
      <c r="J38" s="25" t="str">
        <f aca="false">IF(COUNT(B38:F38)=5,AVERAGE(B38:F38),"")</f>
        <v/>
      </c>
      <c r="K38" s="25" t="str">
        <f aca="false">IF(COUNT(G38:I38)=3,AVERAGE(G38:I38),"")</f>
        <v/>
      </c>
    </row>
    <row r="39" customFormat="false" ht="15" hidden="false" customHeight="false" outlineLevel="0" collapsed="false">
      <c r="A39" s="25" t="str">
        <f aca="false">IF(사전!A39="","",사전!A39)</f>
        <v/>
      </c>
      <c r="B39" s="25" t="str">
        <f aca="false">IFERROR(IF(AND($A39&lt;&gt;"",ISNUMBER(사전!B39),ISNUMBER(INDEX(사후!B$2:B$41,MATCH($A39,사후!$A$2:$A$41,0)))),INDEX(사후!B$2:B$41,MATCH($A39,사후!$A$2:$A$41,0))-사전!B39,""),"")</f>
        <v/>
      </c>
      <c r="C39" s="25" t="str">
        <f aca="false">IFERROR(IF(AND($A39&lt;&gt;"",ISNUMBER(사전!C39),ISNUMBER(INDEX(사후!C$2:C$41,MATCH($A39,사후!$A$2:$A$41,0)))),INDEX(사후!C$2:C$41,MATCH($A39,사후!$A$2:$A$41,0))-사전!C39,""),"")</f>
        <v/>
      </c>
      <c r="D39" s="25" t="str">
        <f aca="false">IFERROR(IF(AND($A39&lt;&gt;"",ISNUMBER(사전!D39),ISNUMBER(INDEX(사후!D$2:D$41,MATCH($A39,사후!$A$2:$A$41,0)))),INDEX(사후!D$2:D$41,MATCH($A39,사후!$A$2:$A$41,0))-사전!D39,""),"")</f>
        <v/>
      </c>
      <c r="E39" s="25" t="str">
        <f aca="false">IFERROR(IF(AND($A39&lt;&gt;"",ISNUMBER(사전!E39),ISNUMBER(INDEX(사후!E$2:E$41,MATCH($A39,사후!$A$2:$A$41,0)))),INDEX(사후!E$2:E$41,MATCH($A39,사후!$A$2:$A$41,0))-사전!E39,""),"")</f>
        <v/>
      </c>
      <c r="F39" s="25" t="str">
        <f aca="false">IFERROR(IF(AND($A39&lt;&gt;"",ISNUMBER(사전!F39),ISNUMBER(INDEX(사후!F$2:F$41,MATCH($A39,사후!$A$2:$A$41,0)))),INDEX(사후!F$2:F$41,MATCH($A39,사후!$A$2:$A$41,0))-사전!F39,""),"")</f>
        <v/>
      </c>
      <c r="G39" s="25" t="str">
        <f aca="false">IFERROR(IF(AND($A39&lt;&gt;"",ISNUMBER(사전!G39),ISNUMBER(INDEX(사후!G$2:G$41,MATCH($A39,사후!$A$2:$A$41,0)))),INDEX(사후!G$2:G$41,MATCH($A39,사후!$A$2:$A$41,0))-사전!G39,""),"")</f>
        <v/>
      </c>
      <c r="H39" s="25" t="str">
        <f aca="false">IFERROR(IF(AND($A39&lt;&gt;"",ISNUMBER(사전!H39),ISNUMBER(INDEX(사후!H$2:H$41,MATCH($A39,사후!$A$2:$A$41,0)))),INDEX(사후!H$2:H$41,MATCH($A39,사후!$A$2:$A$41,0))-사전!H39,""),"")</f>
        <v/>
      </c>
      <c r="I39" s="25" t="str">
        <f aca="false">IFERROR(IF(AND($A39&lt;&gt;"",ISNUMBER(사전!I39),ISNUMBER(INDEX(사후!I$2:I$41,MATCH($A39,사후!$A$2:$A$41,0)))),INDEX(사후!I$2:I$41,MATCH($A39,사후!$A$2:$A$41,0))-사전!I39,""),"")</f>
        <v/>
      </c>
      <c r="J39" s="25" t="str">
        <f aca="false">IF(COUNT(B39:F39)=5,AVERAGE(B39:F39),"")</f>
        <v/>
      </c>
      <c r="K39" s="25" t="str">
        <f aca="false">IF(COUNT(G39:I39)=3,AVERAGE(G39:I39),"")</f>
        <v/>
      </c>
    </row>
    <row r="40" customFormat="false" ht="15" hidden="false" customHeight="false" outlineLevel="0" collapsed="false">
      <c r="A40" s="25" t="str">
        <f aca="false">IF(사전!A40="","",사전!A40)</f>
        <v/>
      </c>
      <c r="B40" s="25" t="str">
        <f aca="false">IFERROR(IF(AND($A40&lt;&gt;"",ISNUMBER(사전!B40),ISNUMBER(INDEX(사후!B$2:B$41,MATCH($A40,사후!$A$2:$A$41,0)))),INDEX(사후!B$2:B$41,MATCH($A40,사후!$A$2:$A$41,0))-사전!B40,""),"")</f>
        <v/>
      </c>
      <c r="C40" s="25" t="str">
        <f aca="false">IFERROR(IF(AND($A40&lt;&gt;"",ISNUMBER(사전!C40),ISNUMBER(INDEX(사후!C$2:C$41,MATCH($A40,사후!$A$2:$A$41,0)))),INDEX(사후!C$2:C$41,MATCH($A40,사후!$A$2:$A$41,0))-사전!C40,""),"")</f>
        <v/>
      </c>
      <c r="D40" s="25" t="str">
        <f aca="false">IFERROR(IF(AND($A40&lt;&gt;"",ISNUMBER(사전!D40),ISNUMBER(INDEX(사후!D$2:D$41,MATCH($A40,사후!$A$2:$A$41,0)))),INDEX(사후!D$2:D$41,MATCH($A40,사후!$A$2:$A$41,0))-사전!D40,""),"")</f>
        <v/>
      </c>
      <c r="E40" s="25" t="str">
        <f aca="false">IFERROR(IF(AND($A40&lt;&gt;"",ISNUMBER(사전!E40),ISNUMBER(INDEX(사후!E$2:E$41,MATCH($A40,사후!$A$2:$A$41,0)))),INDEX(사후!E$2:E$41,MATCH($A40,사후!$A$2:$A$41,0))-사전!E40,""),"")</f>
        <v/>
      </c>
      <c r="F40" s="25" t="str">
        <f aca="false">IFERROR(IF(AND($A40&lt;&gt;"",ISNUMBER(사전!F40),ISNUMBER(INDEX(사후!F$2:F$41,MATCH($A40,사후!$A$2:$A$41,0)))),INDEX(사후!F$2:F$41,MATCH($A40,사후!$A$2:$A$41,0))-사전!F40,""),"")</f>
        <v/>
      </c>
      <c r="G40" s="25" t="str">
        <f aca="false">IFERROR(IF(AND($A40&lt;&gt;"",ISNUMBER(사전!G40),ISNUMBER(INDEX(사후!G$2:G$41,MATCH($A40,사후!$A$2:$A$41,0)))),INDEX(사후!G$2:G$41,MATCH($A40,사후!$A$2:$A$41,0))-사전!G40,""),"")</f>
        <v/>
      </c>
      <c r="H40" s="25" t="str">
        <f aca="false">IFERROR(IF(AND($A40&lt;&gt;"",ISNUMBER(사전!H40),ISNUMBER(INDEX(사후!H$2:H$41,MATCH($A40,사후!$A$2:$A$41,0)))),INDEX(사후!H$2:H$41,MATCH($A40,사후!$A$2:$A$41,0))-사전!H40,""),"")</f>
        <v/>
      </c>
      <c r="I40" s="25" t="str">
        <f aca="false">IFERROR(IF(AND($A40&lt;&gt;"",ISNUMBER(사전!I40),ISNUMBER(INDEX(사후!I$2:I$41,MATCH($A40,사후!$A$2:$A$41,0)))),INDEX(사후!I$2:I$41,MATCH($A40,사후!$A$2:$A$41,0))-사전!I40,""),"")</f>
        <v/>
      </c>
      <c r="J40" s="25" t="str">
        <f aca="false">IF(COUNT(B40:F40)=5,AVERAGE(B40:F40),"")</f>
        <v/>
      </c>
      <c r="K40" s="25" t="str">
        <f aca="false">IF(COUNT(G40:I40)=3,AVERAGE(G40:I40),"")</f>
        <v/>
      </c>
    </row>
    <row r="41" customFormat="false" ht="15" hidden="false" customHeight="false" outlineLevel="0" collapsed="false">
      <c r="A41" s="25" t="str">
        <f aca="false">IF(사전!A41="","",사전!A41)</f>
        <v/>
      </c>
      <c r="B41" s="25" t="str">
        <f aca="false">IFERROR(IF(AND($A41&lt;&gt;"",ISNUMBER(사전!B41),ISNUMBER(INDEX(사후!B$2:B$41,MATCH($A41,사후!$A$2:$A$41,0)))),INDEX(사후!B$2:B$41,MATCH($A41,사후!$A$2:$A$41,0))-사전!B41,""),"")</f>
        <v/>
      </c>
      <c r="C41" s="25" t="str">
        <f aca="false">IFERROR(IF(AND($A41&lt;&gt;"",ISNUMBER(사전!C41),ISNUMBER(INDEX(사후!C$2:C$41,MATCH($A41,사후!$A$2:$A$41,0)))),INDEX(사후!C$2:C$41,MATCH($A41,사후!$A$2:$A$41,0))-사전!C41,""),"")</f>
        <v/>
      </c>
      <c r="D41" s="25" t="str">
        <f aca="false">IFERROR(IF(AND($A41&lt;&gt;"",ISNUMBER(사전!D41),ISNUMBER(INDEX(사후!D$2:D$41,MATCH($A41,사후!$A$2:$A$41,0)))),INDEX(사후!D$2:D$41,MATCH($A41,사후!$A$2:$A$41,0))-사전!D41,""),"")</f>
        <v/>
      </c>
      <c r="E41" s="25" t="str">
        <f aca="false">IFERROR(IF(AND($A41&lt;&gt;"",ISNUMBER(사전!E41),ISNUMBER(INDEX(사후!E$2:E$41,MATCH($A41,사후!$A$2:$A$41,0)))),INDEX(사후!E$2:E$41,MATCH($A41,사후!$A$2:$A$41,0))-사전!E41,""),"")</f>
        <v/>
      </c>
      <c r="F41" s="25" t="str">
        <f aca="false">IFERROR(IF(AND($A41&lt;&gt;"",ISNUMBER(사전!F41),ISNUMBER(INDEX(사후!F$2:F$41,MATCH($A41,사후!$A$2:$A$41,0)))),INDEX(사후!F$2:F$41,MATCH($A41,사후!$A$2:$A$41,0))-사전!F41,""),"")</f>
        <v/>
      </c>
      <c r="G41" s="25" t="str">
        <f aca="false">IFERROR(IF(AND($A41&lt;&gt;"",ISNUMBER(사전!G41),ISNUMBER(INDEX(사후!G$2:G$41,MATCH($A41,사후!$A$2:$A$41,0)))),INDEX(사후!G$2:G$41,MATCH($A41,사후!$A$2:$A$41,0))-사전!G41,""),"")</f>
        <v/>
      </c>
      <c r="H41" s="25" t="str">
        <f aca="false">IFERROR(IF(AND($A41&lt;&gt;"",ISNUMBER(사전!H41),ISNUMBER(INDEX(사후!H$2:H$41,MATCH($A41,사후!$A$2:$A$41,0)))),INDEX(사후!H$2:H$41,MATCH($A41,사후!$A$2:$A$41,0))-사전!H41,""),"")</f>
        <v/>
      </c>
      <c r="I41" s="25" t="str">
        <f aca="false">IFERROR(IF(AND($A41&lt;&gt;"",ISNUMBER(사전!I41),ISNUMBER(INDEX(사후!I$2:I$41,MATCH($A41,사후!$A$2:$A$41,0)))),INDEX(사후!I$2:I$41,MATCH($A41,사후!$A$2:$A$41,0))-사전!I41,""),"")</f>
        <v/>
      </c>
      <c r="J41" s="25" t="str">
        <f aca="false">IF(COUNT(B41:F41)=5,AVERAGE(B41:F41),"")</f>
        <v/>
      </c>
      <c r="K41" s="25" t="str">
        <f aca="false">IF(COUNT(G41:I41)=3,AVERAGE(G41:I41),"")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2026-10-07T04:47:00Z</dcterms:created>
  <dc:creator>openpyxl</dc:creator>
  <dc:description/>
  <dc:language>en-US</dc:language>
  <cp:lastModifiedBy/>
  <dcterms:modified xsi:type="dcterms:W3CDTF">2026-10-07T04:47:02Z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